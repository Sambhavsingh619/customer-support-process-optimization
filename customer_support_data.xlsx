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mbhavtah\Downloads\"/>
    </mc:Choice>
  </mc:AlternateContent>
  <xr:revisionPtr revIDLastSave="0" documentId="8_{A9D2CFBC-00FE-45F7-9851-B7FB629B8C7E}" xr6:coauthVersionLast="47" xr6:coauthVersionMax="47" xr10:uidLastSave="{00000000-0000-0000-0000-000000000000}"/>
  <bookViews>
    <workbookView xWindow="-120" yWindow="-120" windowWidth="20730" windowHeight="11040" xr2:uid="{6B4748B9-3020-46D8-A60F-885AC7194566}"/>
  </bookViews>
  <sheets>
    <sheet name="Sheet1" sheetId="1" r:id="rId1"/>
    <sheet name="Sheet2" sheetId="2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</calcChain>
</file>

<file path=xl/sharedStrings.xml><?xml version="1.0" encoding="utf-8"?>
<sst xmlns="http://schemas.openxmlformats.org/spreadsheetml/2006/main" count="553" uniqueCount="130">
  <si>
    <t>Ticket ID</t>
  </si>
  <si>
    <t>Created_Date_Time</t>
  </si>
  <si>
    <t>First_Response_Time</t>
  </si>
  <si>
    <t>Resolved_Date_Time</t>
  </si>
  <si>
    <t>Status</t>
  </si>
  <si>
    <t>Priority</t>
  </si>
  <si>
    <t>Issue_Type</t>
  </si>
  <si>
    <t>Agent_Name</t>
  </si>
  <si>
    <t>T1</t>
  </si>
  <si>
    <t>Medium</t>
  </si>
  <si>
    <t>Technical Error</t>
  </si>
  <si>
    <t>Agent C</t>
  </si>
  <si>
    <t>T2</t>
  </si>
  <si>
    <t>T3</t>
  </si>
  <si>
    <t>Account Issue</t>
  </si>
  <si>
    <t>Agent B</t>
  </si>
  <si>
    <t>T4</t>
  </si>
  <si>
    <t>Low</t>
  </si>
  <si>
    <t>Payment Issue</t>
  </si>
  <si>
    <t>T5</t>
  </si>
  <si>
    <t>Agent A</t>
  </si>
  <si>
    <t>T6</t>
  </si>
  <si>
    <t>High</t>
  </si>
  <si>
    <t>T7</t>
  </si>
  <si>
    <t>T8</t>
  </si>
  <si>
    <t>T9</t>
  </si>
  <si>
    <t>T10</t>
  </si>
  <si>
    <t>Agent D</t>
  </si>
  <si>
    <t>T11</t>
  </si>
  <si>
    <t>T12</t>
  </si>
  <si>
    <t>T13</t>
  </si>
  <si>
    <t>Login Issue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</si>
  <si>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</si>
  <si>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</si>
  <si>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</si>
  <si>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</si>
  <si>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</si>
  <si>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</si>
  <si>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</si>
  <si>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</si>
  <si>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</si>
  <si>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</si>
  <si>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</si>
  <si>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</si>
  <si>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</si>
  <si>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</si>
  <si>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</si>
  <si>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</si>
  <si>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</si>
  <si>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</si>
  <si>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</si>
  <si>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</si>
  <si>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</si>
  <si>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</si>
  <si>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</si>
  <si>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</si>
  <si>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</si>
  <si>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</si>
  <si>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</si>
  <si>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</si>
  <si>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</si>
  <si>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</si>
  <si>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</si>
  <si>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</si>
  <si>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</si>
  <si>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</si>
  <si>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</si>
  <si>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</si>
  <si>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</si>
  <si>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</si>
  <si>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</si>
  <si>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</si>
  <si>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</si>
  <si>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</si>
  <si>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</si>
  <si>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</si>
  <si>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</si>
  <si>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</si>
  <si>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</si>
  <si>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</si>
  <si>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</si>
  <si>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</si>
  <si>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</si>
  <si>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</si>
  <si>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</si>
  <si>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</si>
  <si>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</si>
  <si>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</si>
  <si>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</si>
  <si>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</si>
  <si>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</si>
  <si>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</si>
  <si>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</si>
  <si>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</si>
  <si>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</si>
  <si>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</si>
  <si>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</si>
  <si>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</si>
  <si>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</si>
  <si>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</si>
  <si>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</si>
  <si>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</si>
  <si>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</si>
  <si>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</si>
  <si>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</si>
  <si>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</si>
  <si>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</si>
  <si>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</si>
  <si>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</si>
  <si>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</si>
  <si>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</si>
  <si>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</si>
  <si>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</si>
  <si>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</si>
  <si>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</si>
  <si>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</si>
  <si>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</si>
  <si>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</si>
  <si>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</si>
  <si>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Resolved</t>
  </si>
  <si>
    <t/>
  </si>
  <si>
    <t>Pending</t>
  </si>
  <si>
    <t>FRT_Minutes</t>
  </si>
  <si>
    <t>TAT_Hours</t>
  </si>
  <si>
    <t>Row Labels</t>
  </si>
  <si>
    <t>Grand Total</t>
  </si>
  <si>
    <t>Count of Agent_Name</t>
  </si>
  <si>
    <t>Average of FRT_Minutes</t>
  </si>
  <si>
    <t>Average of TAT_Hours</t>
  </si>
  <si>
    <t>Count of Ticket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</si>
</sst>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22" fontId="1" fillId="2" borderId="0" xfId="0" applyNumberFormat="1" applyFont="1" applyFill="1" applyAlignment="1">
      <alignment horizontal="center" vertical="center"/>
    </xf>
    <xf numFmtId="22" fontId="0" fillId="0" borderId="0" xfId="0" applyNumberFormat="1" applyAlignment="1">
      <alignment horizont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bhavtah" refreshedDate="46140.202796180558" createdVersion="7" refreshedVersion="7" minRefreshableVersion="3" recordCount="103" xr:uid="{62CF1E00-CE93-4826-9DDC-84CFF5FA47D6}">
  <cacheSource type="worksheet">
    <worksheetSource ref="A1:J1048576" sheet="Sheet1"/>
  </cacheSource>
  <cacheFields count="10">
    <cacheField name="Ticket ID" numFmtId="0">
      <sharedItems containsBlank="1" count="101">
        <s v="T1"/>
        <s v="T2"/>
        <s v="T3"/>
        <s v="T4"/>
        <s v="T5"/>
        <s v="T6"/>
        <s v="T7"/>
        <s v="T8"/>
        <s v="T9"/>
        <s v="T10"/>
        <s v="T11"/>
        <s v="T12"/>
        <s v="T13"/>
        <s v="T14"/>
        <s v="T15"/>
        <s v="T16"/>
        <s v="T17"/>
        <s v="T18"/>
        <s v="T19"/>
        <s v="T20"/>
        <s v="T21"/>
        <s v="T22"/>
        <s v="T23"/>
        <s v="T24"/>
        <s v="T25"/>
        <s v="T26"/>
        <s v="T27"/>
        <s v="T28"/>
        <s v="T29"/>
        <s v="T30"/>
        <s v="T31"/>
        <s v="T32"/>
        <s v="T33"/>
        <s v="T34"/>
        <s v="T35"/>
        <s v="T36"/>
        <s v="T37"/>
        <s v="T38"/>
        <s v="T39"/>
        <s v="T40"/>
        <s v="T41"/>
        <s v="T42"/>
        <s v="T43"/>
        <s v="T44"/>
        <s v="T45"/>
        <s v="T46"/>
        <s v="T47"/>
        <s v="T48"/>
        <s v="T49"/>
        <s v="T50"/>
        <s v="T51"/>
        <s v="T52"/>
        <s v="T53"/>
        <s v="T54"/>
        <s v="T55"/>
        <s v="T56"/>
        <s v="T57"/>
        <s v="T58"/>
        <s v="T59"/>
        <s v="T60"/>
        <s v="T61"/>
        <s v="T62"/>
        <s v="T63"/>
        <s v="T64"/>
        <s v="T65"/>
        <s v="T66"/>
        <s v="T67"/>
        <s v="T68"/>
        <s v="T69"/>
        <s v="T70"/>
        <s v="T71"/>
        <s v="T72"/>
        <s v="T73"/>
        <s v="T74"/>
        <s v="T75"/>
        <s v="T76"/>
        <s v="T77"/>
        <s v="T78"/>
        <s v="T79"/>
        <s v="T80"/>
        <s v="T81"/>
        <s v="T82"/>
        <s v="T83"/>
        <s v="T84"/>
        <s v="T85"/>
        <s v="T86"/>
        <s v="T87"/>
        <s v="T88"/>
        <s v="T89"/>
        <s v="T90"/>
        <s v="T91"/>
        <s v="T92"/>
        <s v="T93"/>
        <s v="T94"/>
        <s v="T95"/>
        <s v="T96"/>
        <s v="T97"/>
        <s v="T98"/>
        <s v="T99"/>
        <s v="T100"/>
        <m/>
      </sharedItems>
    </cacheField>
    <cacheField name="Created_Date_Time" numFmtId="22">
      <sharedItems containsNonDate="0" containsDate="1" containsString="0" containsBlank="1" minDate="2024-01-01T19:46:00" maxDate="2024-01-31T09:23:00"/>
    </cacheField>
    <cacheField name="First_Response_Time" numFmtId="22">
      <sharedItems containsNonDate="0" containsDate="1" containsString="0" containsBlank="1" minDate="2024-01-01T19:53:00" maxDate="2024-01-31T10:57:00"/>
    </cacheField>
    <cacheField name="Resolved_Date_Time" numFmtId="0">
      <sharedItems containsDate="1" containsBlank="1" containsMixedTypes="1" minDate="2024-01-01T23:09:00" maxDate="2024-01-30T22:47:00"/>
    </cacheField>
    <cacheField name="Status" numFmtId="0">
      <sharedItems containsBlank="1" count="3">
        <s v="Resolved"/>
        <s v="Pending"/>
        <m/>
      </sharedItems>
    </cacheField>
    <cacheField name="Priority" numFmtId="0">
      <sharedItems containsBlank="1" count="4">
        <s v="Medium"/>
        <s v="Low"/>
        <s v="High"/>
        <m/>
      </sharedItems>
    </cacheField>
    <cacheField name="Issue_Type" numFmtId="0">
      <sharedItems containsBlank="1"/>
    </cacheField>
    <cacheField name="Agent_Name" numFmtId="0">
      <sharedItems containsBlank="1" count="5">
        <s v="Agent C"/>
        <s v="Agent B"/>
        <s v="Agent A"/>
        <s v="Agent D"/>
        <m/>
      </sharedItems>
    </cacheField>
    <cacheField name="FRT_Minutes" numFmtId="165">
      <sharedItems containsString="0" containsBlank="1" containsNumber="1" minValue="4.9999999953433871" maxValue="465.99999999976717"/>
    </cacheField>
    <cacheField name="TAT_Hours" numFmtId="2">
      <sharedItems containsBlank="1" containsMixedTypes="1" containsNumber="1" minValue="2.3833333332440816" maxValue="14.200000000011642" count="74">
        <n v="7.9000000000814907"/>
        <n v="7.783333333209157"/>
        <n v="4.1000000000931323"/>
        <s v=""/>
        <n v="3.7666666667209938"/>
        <n v="3"/>
        <n v="11.750000000058208"/>
        <n v="3.0833333334303461"/>
        <n v="4.5666666667093523"/>
        <n v="10.383333333476912"/>
        <n v="8.0166666667792015"/>
        <n v="7.3333333333139308"/>
        <n v="8.7333333333372138"/>
        <n v="4.8333333333721384"/>
        <n v="7.5499999999883585"/>
        <n v="9.46666666661622"/>
        <n v="10.699999999953434"/>
        <n v="9.6166666667559184"/>
        <n v="12.916666666686069"/>
        <n v="13.766666666662786"/>
        <n v="8.066666666592937"/>
        <n v="12.483333333337214"/>
        <n v="7.0666666666511446"/>
        <n v="11.900000000023283"/>
        <n v="7.5833333334303461"/>
        <n v="11.983333333453629"/>
        <n v="9.2333333333954215"/>
        <n v="6.183333333407063"/>
        <n v="7.5999999999767169"/>
        <n v="8.3999999999650754"/>
        <n v="8.8000000000465661"/>
        <n v="2.6000000000931323"/>
        <n v="5.0500000000465661"/>
        <n v="5.0166666667792015"/>
        <n v="2.8833333333022892"/>
        <n v="4.7999999999301508"/>
        <n v="7.1999999998952262"/>
        <n v="9.8499999999767169"/>
        <n v="11.666666666627862"/>
        <n v="3.46666666661622"/>
        <n v="9.7333333332790062"/>
        <n v="12.199999999953434"/>
        <n v="4.4500000000116415"/>
        <n v="7.6833333332324401"/>
        <n v="13.549999999988358"/>
        <n v="2.3833333332440816"/>
        <n v="5.8500000000349246"/>
        <n v="10.583333333430346"/>
        <n v="8.9500000000116415"/>
        <n v="7.0833333333721384"/>
        <n v="8.4833333333954215"/>
        <n v="4.78333333338378"/>
        <n v="4.6999999999534339"/>
        <n v="3.1666666666860692"/>
        <n v="5.4666666666744277"/>
        <n v="4.1999999998952262"/>
        <n v="5.2333333332790062"/>
        <n v="5.9500000000116415"/>
        <n v="3.3833333333604969"/>
        <n v="3.6166666667559184"/>
        <n v="3.3500000000931323"/>
        <n v="4.5833333332557231"/>
        <n v="9.6500000000232831"/>
        <n v="4.0166666666627862"/>
        <n v="3.4166666666278616"/>
        <n v="9.2000000001280569"/>
        <n v="8.816666666592937"/>
        <n v="3.5833333333139308"/>
        <n v="13.699999999953434"/>
        <n v="14.200000000011642"/>
        <n v="5.8666666667559184"/>
        <n v="13.150000000081491"/>
        <n v="9.099999999976716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d v="2024-01-22T19:24:00"/>
    <d v="2024-01-22T20:23:00"/>
    <d v="2024-01-23T03:18:00"/>
    <x v="0"/>
    <x v="0"/>
    <s v="Technical Error"/>
    <x v="0"/>
    <n v="59.00000000372529"/>
    <x v="0"/>
  </r>
  <r>
    <x v="1"/>
    <d v="2024-01-19T12:44:00"/>
    <d v="2024-01-19T13:31:00"/>
    <d v="2024-01-19T20:31:00"/>
    <x v="0"/>
    <x v="0"/>
    <s v="Technical Error"/>
    <x v="0"/>
    <n v="46.999999996041879"/>
    <x v="1"/>
  </r>
  <r>
    <x v="2"/>
    <d v="2024-01-02T15:43:00"/>
    <d v="2024-01-02T16:00:00"/>
    <d v="2024-01-02T19:49:00"/>
    <x v="0"/>
    <x v="0"/>
    <s v="Account Issue"/>
    <x v="1"/>
    <n v="16.999999992549419"/>
    <x v="2"/>
  </r>
  <r>
    <x v="3"/>
    <d v="2024-01-20T13:48:00"/>
    <d v="2024-01-20T15:25:00"/>
    <s v=""/>
    <x v="1"/>
    <x v="1"/>
    <s v="Payment Issue"/>
    <x v="1"/>
    <n v="97.000000001862645"/>
    <x v="3"/>
  </r>
  <r>
    <x v="4"/>
    <d v="2024-01-28T15:07:00"/>
    <d v="2024-01-28T15:55:00"/>
    <d v="2024-01-28T18:53:00"/>
    <x v="0"/>
    <x v="0"/>
    <s v="Technical Error"/>
    <x v="2"/>
    <n v="47.999999999301508"/>
    <x v="4"/>
  </r>
  <r>
    <x v="5"/>
    <d v="2024-01-12T15:42:00"/>
    <d v="2024-01-12T15:49:00"/>
    <d v="2024-01-12T18:42:00"/>
    <x v="0"/>
    <x v="2"/>
    <s v="Account Issue"/>
    <x v="2"/>
    <n v="7.0000000018626451"/>
    <x v="5"/>
  </r>
  <r>
    <x v="6"/>
    <d v="2024-01-24T08:50:00"/>
    <d v="2024-01-24T16:36:00"/>
    <d v="2024-01-24T20:35:00"/>
    <x v="0"/>
    <x v="1"/>
    <s v="Account Issue"/>
    <x v="0"/>
    <n v="465.99999999976717"/>
    <x v="6"/>
  </r>
  <r>
    <x v="7"/>
    <d v="2024-01-03T13:06:00"/>
    <d v="2024-01-03T13:30:00"/>
    <d v="2024-01-03T16:11:00"/>
    <x v="0"/>
    <x v="2"/>
    <s v="Payment Issue"/>
    <x v="0"/>
    <n v="24.000000004889444"/>
    <x v="7"/>
  </r>
  <r>
    <x v="8"/>
    <d v="2024-01-26T10:04:00"/>
    <d v="2024-01-26T10:25:00"/>
    <s v=""/>
    <x v="1"/>
    <x v="2"/>
    <s v="Technical Error"/>
    <x v="2"/>
    <n v="20.999999995110556"/>
    <x v="3"/>
  </r>
  <r>
    <x v="9"/>
    <d v="2024-01-26T14:54:00"/>
    <d v="2024-01-26T15:01:00"/>
    <d v="2024-01-26T19:28:00"/>
    <x v="0"/>
    <x v="2"/>
    <s v="Account Issue"/>
    <x v="3"/>
    <n v="7.0000000018626451"/>
    <x v="8"/>
  </r>
  <r>
    <x v="10"/>
    <d v="2024-01-21T13:07:00"/>
    <d v="2024-01-21T14:03:00"/>
    <d v="2024-01-21T23:30:00"/>
    <x v="0"/>
    <x v="1"/>
    <s v="Payment Issue"/>
    <x v="3"/>
    <n v="56.000000004423782"/>
    <x v="9"/>
  </r>
  <r>
    <x v="11"/>
    <d v="2024-01-16T17:47:00"/>
    <d v="2024-01-16T18:16:00"/>
    <s v=""/>
    <x v="1"/>
    <x v="2"/>
    <s v="Technical Error"/>
    <x v="2"/>
    <n v="29.000000000232831"/>
    <x v="3"/>
  </r>
  <r>
    <x v="12"/>
    <d v="2024-01-15T12:22:00"/>
    <d v="2024-01-15T13:11:00"/>
    <d v="2024-01-15T20:23:00"/>
    <x v="0"/>
    <x v="0"/>
    <s v="Login Issue"/>
    <x v="3"/>
    <n v="49.000000002561137"/>
    <x v="10"/>
  </r>
  <r>
    <x v="13"/>
    <d v="2024-01-17T17:56:00"/>
    <d v="2024-01-17T18:45:00"/>
    <d v="2024-01-18T01:16:00"/>
    <x v="0"/>
    <x v="1"/>
    <s v="Technical Error"/>
    <x v="1"/>
    <n v="49.000000002561137"/>
    <x v="11"/>
  </r>
  <r>
    <x v="14"/>
    <d v="2024-01-08T14:55:00"/>
    <d v="2024-01-08T15:43:00"/>
    <s v=""/>
    <x v="1"/>
    <x v="0"/>
    <s v="Technical Error"/>
    <x v="0"/>
    <n v="47.999999999301508"/>
    <x v="3"/>
  </r>
  <r>
    <x v="15"/>
    <d v="2024-01-19T08:28:00"/>
    <d v="2024-01-19T15:27:00"/>
    <d v="2024-01-19T17:12:00"/>
    <x v="0"/>
    <x v="1"/>
    <s v="Login Issue"/>
    <x v="2"/>
    <n v="419.00000000372529"/>
    <x v="12"/>
  </r>
  <r>
    <x v="16"/>
    <d v="2024-01-18T08:01:00"/>
    <d v="2024-01-18T08:28:00"/>
    <d v="2024-01-18T12:51:00"/>
    <x v="0"/>
    <x v="2"/>
    <s v="Account Issue"/>
    <x v="0"/>
    <n v="27.000000004190952"/>
    <x v="13"/>
  </r>
  <r>
    <x v="17"/>
    <d v="2024-01-03T11:36:00"/>
    <d v="2024-01-03T11:56:00"/>
    <d v="2024-01-03T19:09:00"/>
    <x v="0"/>
    <x v="0"/>
    <s v="Technical Error"/>
    <x v="0"/>
    <n v="20.000000002328306"/>
    <x v="14"/>
  </r>
  <r>
    <x v="18"/>
    <d v="2024-01-15T20:39:00"/>
    <d v="2024-01-15T21:31:00"/>
    <d v="2024-01-16T06:07:00"/>
    <x v="0"/>
    <x v="0"/>
    <s v="Account Issue"/>
    <x v="3"/>
    <n v="52.000000001862645"/>
    <x v="15"/>
  </r>
  <r>
    <x v="19"/>
    <d v="2024-01-30T12:05:00"/>
    <d v="2024-01-30T14:00:00"/>
    <d v="2024-01-30T22:47:00"/>
    <x v="0"/>
    <x v="1"/>
    <s v="Technical Error"/>
    <x v="0"/>
    <n v="114.99999999767169"/>
    <x v="16"/>
  </r>
  <r>
    <x v="20"/>
    <d v="2024-01-22T17:29:00"/>
    <d v="2024-01-22T18:24:00"/>
    <d v="2024-01-23T03:06:00"/>
    <x v="0"/>
    <x v="0"/>
    <s v="Technical Error"/>
    <x v="0"/>
    <n v="55.000000001164153"/>
    <x v="17"/>
  </r>
  <r>
    <x v="21"/>
    <d v="2024-01-02T08:21:00"/>
    <d v="2024-01-02T08:57:00"/>
    <d v="2024-01-02T21:16:00"/>
    <x v="0"/>
    <x v="1"/>
    <s v="Payment Issue"/>
    <x v="3"/>
    <n v="36.000000002095476"/>
    <x v="18"/>
  </r>
  <r>
    <x v="22"/>
    <d v="2024-01-07T17:12:00"/>
    <d v="2024-01-07T17:42:00"/>
    <s v=""/>
    <x v="1"/>
    <x v="0"/>
    <s v="Account Issue"/>
    <x v="2"/>
    <n v="30.00000000349246"/>
    <x v="3"/>
  </r>
  <r>
    <x v="23"/>
    <d v="2024-01-14T10:15:00"/>
    <d v="2024-01-14T12:15:00"/>
    <d v="2024-01-15T00:01:00"/>
    <x v="0"/>
    <x v="1"/>
    <s v="Login Issue"/>
    <x v="0"/>
    <n v="120.00000000349246"/>
    <x v="19"/>
  </r>
  <r>
    <x v="24"/>
    <d v="2024-01-17T16:01:00"/>
    <d v="2024-01-17T16:46:00"/>
    <d v="2024-01-18T00:05:00"/>
    <x v="0"/>
    <x v="0"/>
    <s v="Technical Error"/>
    <x v="1"/>
    <n v="45"/>
    <x v="20"/>
  </r>
  <r>
    <x v="25"/>
    <d v="2024-01-15T15:30:00"/>
    <d v="2024-01-15T17:03:00"/>
    <d v="2024-01-16T03:59:00"/>
    <x v="0"/>
    <x v="1"/>
    <s v="Account Issue"/>
    <x v="1"/>
    <n v="92.999999999301508"/>
    <x v="21"/>
  </r>
  <r>
    <x v="26"/>
    <d v="2024-01-11T15:38:00"/>
    <d v="2024-01-11T17:22:00"/>
    <s v=""/>
    <x v="1"/>
    <x v="1"/>
    <s v="Account Issue"/>
    <x v="3"/>
    <n v="104.00000000372529"/>
    <x v="3"/>
  </r>
  <r>
    <x v="27"/>
    <d v="2024-01-20T08:52:00"/>
    <d v="2024-01-20T09:52:00"/>
    <s v=""/>
    <x v="1"/>
    <x v="1"/>
    <s v="Payment Issue"/>
    <x v="2"/>
    <n v="59.99999999650754"/>
    <x v="3"/>
  </r>
  <r>
    <x v="28"/>
    <d v="2024-01-26T10:52:00"/>
    <d v="2024-01-26T11:49:00"/>
    <d v="2024-01-26T17:56:00"/>
    <x v="0"/>
    <x v="1"/>
    <s v="Login Issue"/>
    <x v="1"/>
    <n v="56.999999997206032"/>
    <x v="22"/>
  </r>
  <r>
    <x v="29"/>
    <d v="2024-01-04T20:38:00"/>
    <d v="2024-01-04T21:12:00"/>
    <s v=""/>
    <x v="1"/>
    <x v="0"/>
    <s v="Account Issue"/>
    <x v="1"/>
    <n v="33.999999995576218"/>
    <x v="3"/>
  </r>
  <r>
    <x v="30"/>
    <d v="2024-01-15T20:24:00"/>
    <d v="2024-01-15T21:17:00"/>
    <d v="2024-01-16T08:18:00"/>
    <x v="0"/>
    <x v="1"/>
    <s v="Technical Error"/>
    <x v="1"/>
    <n v="53.000000005122274"/>
    <x v="23"/>
  </r>
  <r>
    <x v="31"/>
    <d v="2024-01-20T19:59:00"/>
    <d v="2024-01-20T21:41:00"/>
    <s v=""/>
    <x v="1"/>
    <x v="1"/>
    <s v="Technical Error"/>
    <x v="2"/>
    <n v="101.99999999720603"/>
    <x v="3"/>
  </r>
  <r>
    <x v="32"/>
    <d v="2024-01-29T19:31:00"/>
    <d v="2024-01-29T20:17:00"/>
    <d v="2024-01-29T23:17:00"/>
    <x v="0"/>
    <x v="0"/>
    <s v="Login Issue"/>
    <x v="1"/>
    <n v="46.000000003259629"/>
    <x v="4"/>
  </r>
  <r>
    <x v="33"/>
    <d v="2024-01-17T13:42:00"/>
    <d v="2024-01-17T19:53:00"/>
    <d v="2024-01-17T21:17:00"/>
    <x v="0"/>
    <x v="2"/>
    <s v="Technical Error"/>
    <x v="3"/>
    <n v="371.00000000442378"/>
    <x v="24"/>
  </r>
  <r>
    <x v="34"/>
    <d v="2024-01-17T09:22:00"/>
    <d v="2024-01-17T10:27:00"/>
    <d v="2024-01-17T21:21:00"/>
    <x v="0"/>
    <x v="1"/>
    <s v="Account Issue"/>
    <x v="3"/>
    <n v="65.000000002328306"/>
    <x v="25"/>
  </r>
  <r>
    <x v="35"/>
    <d v="2024-01-04T17:46:00"/>
    <d v="2024-01-04T19:04:00"/>
    <d v="2024-01-05T03:00:00"/>
    <x v="0"/>
    <x v="1"/>
    <s v="Payment Issue"/>
    <x v="1"/>
    <n v="78.000000002793968"/>
    <x v="26"/>
  </r>
  <r>
    <x v="36"/>
    <d v="2024-01-20T09:27:00"/>
    <d v="2024-01-20T10:16:00"/>
    <d v="2024-01-20T15:38:00"/>
    <x v="0"/>
    <x v="0"/>
    <s v="Technical Error"/>
    <x v="0"/>
    <n v="49.000000002561137"/>
    <x v="27"/>
  </r>
  <r>
    <x v="37"/>
    <d v="2024-01-04T20:53:00"/>
    <d v="2024-01-04T21:22:00"/>
    <d v="2024-01-05T04:29:00"/>
    <x v="0"/>
    <x v="0"/>
    <s v="Payment Issue"/>
    <x v="3"/>
    <n v="29.000000000232831"/>
    <x v="28"/>
  </r>
  <r>
    <x v="38"/>
    <d v="2024-01-16T09:59:00"/>
    <d v="2024-01-16T10:51:00"/>
    <d v="2024-01-16T18:23:00"/>
    <x v="0"/>
    <x v="0"/>
    <s v="Login Issue"/>
    <x v="2"/>
    <n v="52.000000001862645"/>
    <x v="29"/>
  </r>
  <r>
    <x v="39"/>
    <d v="2024-01-08T20:29:00"/>
    <d v="2024-01-08T20:53:00"/>
    <d v="2024-01-09T05:17:00"/>
    <x v="0"/>
    <x v="0"/>
    <s v="Technical Error"/>
    <x v="0"/>
    <n v="24.000000004889444"/>
    <x v="30"/>
  </r>
  <r>
    <x v="40"/>
    <d v="2024-01-08T10:50:00"/>
    <d v="2024-01-08T11:10:00"/>
    <d v="2024-01-08T13:26:00"/>
    <x v="0"/>
    <x v="0"/>
    <s v="Account Issue"/>
    <x v="0"/>
    <n v="20.000000002328306"/>
    <x v="31"/>
  </r>
  <r>
    <x v="41"/>
    <d v="2024-01-15T20:36:00"/>
    <d v="2024-01-15T20:49:00"/>
    <d v="2024-01-16T01:39:00"/>
    <x v="0"/>
    <x v="2"/>
    <s v="Login Issue"/>
    <x v="0"/>
    <n v="13.000000000465661"/>
    <x v="32"/>
  </r>
  <r>
    <x v="42"/>
    <d v="2024-01-21T20:05:00"/>
    <d v="2024-01-21T20:19:00"/>
    <d v="2024-01-22T01:06:00"/>
    <x v="0"/>
    <x v="2"/>
    <s v="Login Issue"/>
    <x v="1"/>
    <n v="14.00000000372529"/>
    <x v="33"/>
  </r>
  <r>
    <x v="43"/>
    <d v="2024-01-02T18:04:00"/>
    <d v="2024-01-02T18:42:00"/>
    <d v="2024-01-02T20:57:00"/>
    <x v="0"/>
    <x v="0"/>
    <s v="Payment Issue"/>
    <x v="2"/>
    <n v="37.999999998137355"/>
    <x v="34"/>
  </r>
  <r>
    <x v="44"/>
    <d v="2024-01-30T16:38:00"/>
    <d v="2024-01-30T16:44:00"/>
    <d v="2024-01-30T21:26:00"/>
    <x v="0"/>
    <x v="2"/>
    <s v="Login Issue"/>
    <x v="0"/>
    <n v="5.9999999986030161"/>
    <x v="35"/>
  </r>
  <r>
    <x v="45"/>
    <d v="2024-01-09T17:15:00"/>
    <d v="2024-01-09T18:02:00"/>
    <d v="2024-01-10T00:27:00"/>
    <x v="0"/>
    <x v="0"/>
    <s v="Login Issue"/>
    <x v="0"/>
    <n v="46.999999996041879"/>
    <x v="36"/>
  </r>
  <r>
    <x v="46"/>
    <d v="2024-01-10T11:29:00"/>
    <d v="2024-01-10T12:24:00"/>
    <d v="2024-01-10T21:20:00"/>
    <x v="0"/>
    <x v="1"/>
    <s v="Account Issue"/>
    <x v="1"/>
    <n v="55.000000001164153"/>
    <x v="37"/>
  </r>
  <r>
    <x v="47"/>
    <d v="2024-01-27T13:29:00"/>
    <d v="2024-01-27T14:42:00"/>
    <d v="2024-01-28T01:09:00"/>
    <x v="0"/>
    <x v="1"/>
    <s v="Login Issue"/>
    <x v="2"/>
    <n v="72.999999996973202"/>
    <x v="38"/>
  </r>
  <r>
    <x v="48"/>
    <d v="2024-01-13T20:23:00"/>
    <d v="2024-01-13T20:32:00"/>
    <d v="2024-01-13T23:51:00"/>
    <x v="0"/>
    <x v="2"/>
    <s v="Payment Issue"/>
    <x v="1"/>
    <n v="8.9999999979045242"/>
    <x v="39"/>
  </r>
  <r>
    <x v="49"/>
    <d v="2024-01-27T18:24:00"/>
    <d v="2024-01-27T20:01:00"/>
    <d v="2024-01-28T04:08:00"/>
    <x v="0"/>
    <x v="1"/>
    <s v="Login Issue"/>
    <x v="2"/>
    <n v="97.000000001862645"/>
    <x v="40"/>
  </r>
  <r>
    <x v="50"/>
    <d v="2024-01-11T16:48:00"/>
    <d v="2024-01-11T17:00:00"/>
    <s v=""/>
    <x v="1"/>
    <x v="2"/>
    <s v="Login Issue"/>
    <x v="2"/>
    <n v="11.999999997206032"/>
    <x v="3"/>
  </r>
  <r>
    <x v="51"/>
    <d v="2024-01-18T14:33:00"/>
    <d v="2024-01-18T16:09:00"/>
    <s v=""/>
    <x v="1"/>
    <x v="1"/>
    <s v="Payment Issue"/>
    <x v="3"/>
    <n v="95.999999998603016"/>
    <x v="3"/>
  </r>
  <r>
    <x v="52"/>
    <d v="2024-01-21T11:31:00"/>
    <d v="2024-01-21T12:45:00"/>
    <d v="2024-01-21T23:43:00"/>
    <x v="0"/>
    <x v="1"/>
    <s v="Payment Issue"/>
    <x v="1"/>
    <n v="74.000000000232831"/>
    <x v="41"/>
  </r>
  <r>
    <x v="53"/>
    <d v="2024-01-26T09:56:00"/>
    <d v="2024-01-26T10:37:00"/>
    <s v=""/>
    <x v="1"/>
    <x v="0"/>
    <s v="Login Issue"/>
    <x v="2"/>
    <n v="40.999999997438863"/>
    <x v="3"/>
  </r>
  <r>
    <x v="54"/>
    <d v="2024-01-16T16:29:00"/>
    <d v="2024-01-16T16:35:00"/>
    <d v="2024-01-16T20:56:00"/>
    <x v="0"/>
    <x v="2"/>
    <s v="Account Issue"/>
    <x v="2"/>
    <n v="5.9999999986030161"/>
    <x v="42"/>
  </r>
  <r>
    <x v="55"/>
    <d v="2024-01-26T10:10:00"/>
    <d v="2024-01-26T11:29:00"/>
    <s v=""/>
    <x v="1"/>
    <x v="1"/>
    <s v="Technical Error"/>
    <x v="0"/>
    <n v="78.999999995576218"/>
    <x v="3"/>
  </r>
  <r>
    <x v="56"/>
    <d v="2024-01-19T15:33:00"/>
    <d v="2024-01-19T15:59:00"/>
    <s v=""/>
    <x v="1"/>
    <x v="0"/>
    <s v="Technical Error"/>
    <x v="1"/>
    <n v="26.000000000931323"/>
    <x v="3"/>
  </r>
  <r>
    <x v="57"/>
    <d v="2024-01-27T14:06:00"/>
    <d v="2024-01-27T15:06:00"/>
    <d v="2024-01-27T21:47:00"/>
    <x v="0"/>
    <x v="0"/>
    <s v="Payment Issue"/>
    <x v="0"/>
    <n v="59.99999999650754"/>
    <x v="43"/>
  </r>
  <r>
    <x v="58"/>
    <d v="2024-01-05T19:40:00"/>
    <d v="2024-01-05T20:36:00"/>
    <d v="2024-01-06T07:39:00"/>
    <x v="0"/>
    <x v="1"/>
    <s v="Technical Error"/>
    <x v="1"/>
    <n v="56.000000004423782"/>
    <x v="25"/>
  </r>
  <r>
    <x v="59"/>
    <d v="2024-01-18T19:50:00"/>
    <d v="2024-01-18T20:25:00"/>
    <d v="2024-01-19T09:23:00"/>
    <x v="0"/>
    <x v="1"/>
    <s v="Login Issue"/>
    <x v="1"/>
    <n v="34.999999998835847"/>
    <x v="44"/>
  </r>
  <r>
    <x v="60"/>
    <d v="2024-01-18T13:21:00"/>
    <d v="2024-01-18T13:40:00"/>
    <d v="2024-01-18T15:44:00"/>
    <x v="0"/>
    <x v="2"/>
    <s v="Technical Error"/>
    <x v="3"/>
    <n v="18.999999999068677"/>
    <x v="45"/>
  </r>
  <r>
    <x v="61"/>
    <d v="2024-01-14T16:06:00"/>
    <d v="2024-01-14T16:38:00"/>
    <d v="2024-01-14T21:57:00"/>
    <x v="0"/>
    <x v="1"/>
    <s v="Technical Error"/>
    <x v="1"/>
    <n v="31.999999999534339"/>
    <x v="46"/>
  </r>
  <r>
    <x v="62"/>
    <d v="2024-01-18T13:36:00"/>
    <d v="2024-01-18T14:37:00"/>
    <s v=""/>
    <x v="1"/>
    <x v="1"/>
    <s v="Login Issue"/>
    <x v="1"/>
    <n v="60.999999999767169"/>
    <x v="3"/>
  </r>
  <r>
    <x v="63"/>
    <d v="2024-01-19T15:44:00"/>
    <d v="2024-01-19T17:22:00"/>
    <d v="2024-01-20T02:19:00"/>
    <x v="0"/>
    <x v="1"/>
    <s v="Login Issue"/>
    <x v="0"/>
    <n v="98.000000005122274"/>
    <x v="47"/>
  </r>
  <r>
    <x v="64"/>
    <d v="2024-01-02T12:54:00"/>
    <d v="2024-01-02T14:43:00"/>
    <d v="2024-01-02T21:51:00"/>
    <x v="0"/>
    <x v="1"/>
    <s v="Login Issue"/>
    <x v="0"/>
    <n v="108.99999999906868"/>
    <x v="48"/>
  </r>
  <r>
    <x v="65"/>
    <d v="2024-01-18T09:05:00"/>
    <d v="2024-01-18T09:33:00"/>
    <s v=""/>
    <x v="1"/>
    <x v="2"/>
    <s v="Payment Issue"/>
    <x v="1"/>
    <n v="27.999999996973202"/>
    <x v="3"/>
  </r>
  <r>
    <x v="66"/>
    <d v="2024-01-14T08:32:00"/>
    <d v="2024-01-14T14:18:00"/>
    <d v="2024-01-14T15:37:00"/>
    <x v="0"/>
    <x v="1"/>
    <s v="Account Issue"/>
    <x v="2"/>
    <n v="345.99999999627471"/>
    <x v="49"/>
  </r>
  <r>
    <x v="67"/>
    <d v="2024-01-26T20:19:00"/>
    <d v="2024-01-26T21:20:00"/>
    <d v="2024-01-27T04:48:00"/>
    <x v="0"/>
    <x v="1"/>
    <s v="Login Issue"/>
    <x v="1"/>
    <n v="60.999999999767169"/>
    <x v="50"/>
  </r>
  <r>
    <x v="68"/>
    <d v="2024-01-21T11:01:00"/>
    <d v="2024-01-21T12:31:00"/>
    <s v=""/>
    <x v="1"/>
    <x v="1"/>
    <s v="Technical Error"/>
    <x v="0"/>
    <n v="90"/>
    <x v="3"/>
  </r>
  <r>
    <x v="69"/>
    <d v="2024-01-03T19:57:00"/>
    <d v="2024-01-03T20:26:00"/>
    <s v=""/>
    <x v="1"/>
    <x v="2"/>
    <s v="Technical Error"/>
    <x v="3"/>
    <n v="29.000000000232831"/>
    <x v="3"/>
  </r>
  <r>
    <x v="70"/>
    <d v="2024-01-03T17:32:00"/>
    <d v="2024-01-03T18:31:00"/>
    <s v=""/>
    <x v="1"/>
    <x v="1"/>
    <s v="Payment Issue"/>
    <x v="2"/>
    <n v="59.00000000372529"/>
    <x v="3"/>
  </r>
  <r>
    <x v="71"/>
    <d v="2024-01-22T17:48:00"/>
    <d v="2024-01-22T18:02:00"/>
    <d v="2024-01-22T21:34:00"/>
    <x v="0"/>
    <x v="2"/>
    <s v="Account Issue"/>
    <x v="3"/>
    <n v="14.00000000372529"/>
    <x v="4"/>
  </r>
  <r>
    <x v="72"/>
    <d v="2024-01-25T20:56:00"/>
    <d v="2024-01-25T21:15:00"/>
    <d v="2024-01-26T01:43:00"/>
    <x v="0"/>
    <x v="2"/>
    <s v="Account Issue"/>
    <x v="2"/>
    <n v="18.999999999068677"/>
    <x v="51"/>
  </r>
  <r>
    <x v="73"/>
    <d v="2024-01-08T20:24:00"/>
    <d v="2024-01-08T23:34:00"/>
    <d v="2024-01-09T01:06:00"/>
    <x v="0"/>
    <x v="2"/>
    <s v="Login Issue"/>
    <x v="3"/>
    <n v="190.00000000116415"/>
    <x v="52"/>
  </r>
  <r>
    <x v="74"/>
    <d v="2024-01-08T08:23:00"/>
    <d v="2024-01-08T09:12:00"/>
    <d v="2024-01-08T11:33:00"/>
    <x v="0"/>
    <x v="0"/>
    <s v="Payment Issue"/>
    <x v="0"/>
    <n v="49.000000002561137"/>
    <x v="53"/>
  </r>
  <r>
    <x v="75"/>
    <d v="2024-01-11T16:00:00"/>
    <d v="2024-01-11T16:18:00"/>
    <d v="2024-01-11T21:28:00"/>
    <x v="0"/>
    <x v="0"/>
    <s v="Account Issue"/>
    <x v="0"/>
    <n v="17.999999995809048"/>
    <x v="54"/>
  </r>
  <r>
    <x v="76"/>
    <d v="2024-01-25T09:13:00"/>
    <d v="2024-01-25T10:31:00"/>
    <d v="2024-01-25T16:49:00"/>
    <x v="0"/>
    <x v="1"/>
    <s v="Login Issue"/>
    <x v="2"/>
    <n v="78.000000002793968"/>
    <x v="28"/>
  </r>
  <r>
    <x v="77"/>
    <d v="2024-01-08T14:55:00"/>
    <d v="2024-01-08T15:10:00"/>
    <d v="2024-01-08T19:07:00"/>
    <x v="0"/>
    <x v="2"/>
    <s v="Account Issue"/>
    <x v="1"/>
    <n v="14.99999999650754"/>
    <x v="55"/>
  </r>
  <r>
    <x v="78"/>
    <d v="2024-01-29T11:08:00"/>
    <d v="2024-01-29T11:27:00"/>
    <s v=""/>
    <x v="1"/>
    <x v="0"/>
    <s v="Payment Issue"/>
    <x v="2"/>
    <n v="18.999999999068677"/>
    <x v="3"/>
  </r>
  <r>
    <x v="79"/>
    <d v="2024-01-15T20:33:00"/>
    <d v="2024-01-15T21:30:00"/>
    <s v=""/>
    <x v="1"/>
    <x v="0"/>
    <s v="Account Issue"/>
    <x v="1"/>
    <n v="56.999999997206032"/>
    <x v="3"/>
  </r>
  <r>
    <x v="80"/>
    <d v="2024-01-05T14:47:00"/>
    <d v="2024-01-05T16:01:00"/>
    <d v="2024-01-05T20:01:00"/>
    <x v="0"/>
    <x v="1"/>
    <s v="Payment Issue"/>
    <x v="2"/>
    <n v="74.000000000232831"/>
    <x v="56"/>
  </r>
  <r>
    <x v="81"/>
    <d v="2024-01-06T09:39:00"/>
    <d v="2024-01-06T09:57:00"/>
    <d v="2024-01-06T15:36:00"/>
    <x v="0"/>
    <x v="0"/>
    <s v="Payment Issue"/>
    <x v="1"/>
    <n v="17.999999995809048"/>
    <x v="57"/>
  </r>
  <r>
    <x v="82"/>
    <d v="2024-01-01T19:46:00"/>
    <d v="2024-01-01T19:53:00"/>
    <d v="2024-01-01T23:09:00"/>
    <x v="0"/>
    <x v="2"/>
    <s v="Login Issue"/>
    <x v="3"/>
    <n v="7.0000000018626451"/>
    <x v="58"/>
  </r>
  <r>
    <x v="83"/>
    <d v="2024-01-29T19:35:00"/>
    <d v="2024-01-29T20:55:00"/>
    <s v=""/>
    <x v="1"/>
    <x v="1"/>
    <s v="Account Issue"/>
    <x v="3"/>
    <n v="79.999999998835847"/>
    <x v="3"/>
  </r>
  <r>
    <x v="84"/>
    <d v="2024-01-28T14:47:00"/>
    <d v="2024-01-28T14:57:00"/>
    <d v="2024-01-28T18:24:00"/>
    <x v="0"/>
    <x v="2"/>
    <s v="Payment Issue"/>
    <x v="3"/>
    <n v="10.000000001164153"/>
    <x v="59"/>
  </r>
  <r>
    <x v="85"/>
    <d v="2024-01-08T13:24:00"/>
    <d v="2024-01-08T14:22:00"/>
    <d v="2024-01-08T16:45:00"/>
    <x v="0"/>
    <x v="0"/>
    <s v="Login Issue"/>
    <x v="1"/>
    <n v="58.000000000465661"/>
    <x v="60"/>
  </r>
  <r>
    <x v="86"/>
    <d v="2024-01-05T11:03:00"/>
    <d v="2024-01-05T11:22:00"/>
    <d v="2024-01-05T15:38:00"/>
    <x v="0"/>
    <x v="2"/>
    <s v="Technical Error"/>
    <x v="1"/>
    <n v="18.999999999068677"/>
    <x v="61"/>
  </r>
  <r>
    <x v="87"/>
    <d v="2024-01-04T13:20:00"/>
    <d v="2024-01-04T14:17:00"/>
    <d v="2024-01-04T22:59:00"/>
    <x v="0"/>
    <x v="0"/>
    <s v="Login Issue"/>
    <x v="0"/>
    <n v="56.999999997206032"/>
    <x v="62"/>
  </r>
  <r>
    <x v="88"/>
    <d v="2024-01-27T11:27:00"/>
    <d v="2024-01-27T11:32:00"/>
    <d v="2024-01-27T15:28:00"/>
    <x v="0"/>
    <x v="2"/>
    <s v="Payment Issue"/>
    <x v="2"/>
    <n v="4.9999999953433871"/>
    <x v="63"/>
  </r>
  <r>
    <x v="89"/>
    <d v="2024-01-07T20:31:00"/>
    <d v="2024-01-07T21:26:00"/>
    <d v="2024-01-07T23:56:00"/>
    <x v="0"/>
    <x v="0"/>
    <s v="Technical Error"/>
    <x v="0"/>
    <n v="55.000000001164153"/>
    <x v="64"/>
  </r>
  <r>
    <x v="90"/>
    <d v="2024-01-16T12:41:00"/>
    <d v="2024-01-16T20:01:00"/>
    <d v="2024-01-16T21:53:00"/>
    <x v="0"/>
    <x v="2"/>
    <s v="Payment Issue"/>
    <x v="1"/>
    <n v="439.99999999883585"/>
    <x v="65"/>
  </r>
  <r>
    <x v="91"/>
    <d v="2024-01-24T19:09:00"/>
    <d v="2024-01-24T19:54:00"/>
    <d v="2024-01-25T03:58:00"/>
    <x v="0"/>
    <x v="1"/>
    <s v="Account Issue"/>
    <x v="3"/>
    <n v="45"/>
    <x v="66"/>
  </r>
  <r>
    <x v="92"/>
    <d v="2024-01-29T09:16:00"/>
    <d v="2024-01-29T09:28:00"/>
    <d v="2024-01-29T12:51:00"/>
    <x v="0"/>
    <x v="2"/>
    <s v="Login Issue"/>
    <x v="2"/>
    <n v="11.999999997206032"/>
    <x v="67"/>
  </r>
  <r>
    <x v="93"/>
    <d v="2024-01-24T13:22:00"/>
    <d v="2024-01-24T15:15:00"/>
    <d v="2024-01-25T03:04:00"/>
    <x v="0"/>
    <x v="1"/>
    <s v="Technical Error"/>
    <x v="3"/>
    <n v="113.00000000162981"/>
    <x v="68"/>
  </r>
  <r>
    <x v="94"/>
    <d v="2024-01-14T08:56:00"/>
    <d v="2024-01-14T10:12:00"/>
    <d v="2024-01-14T23:08:00"/>
    <x v="0"/>
    <x v="1"/>
    <s v="Login Issue"/>
    <x v="2"/>
    <n v="75.99999999627471"/>
    <x v="69"/>
  </r>
  <r>
    <x v="95"/>
    <d v="2024-01-20T18:11:00"/>
    <d v="2024-01-20T22:23:00"/>
    <d v="2024-01-20T23:39:00"/>
    <x v="0"/>
    <x v="2"/>
    <s v="Technical Error"/>
    <x v="2"/>
    <n v="251.99999999371357"/>
    <x v="54"/>
  </r>
  <r>
    <x v="96"/>
    <d v="2024-01-23T18:23:00"/>
    <d v="2024-01-23T19:18:00"/>
    <d v="2024-01-24T00:15:00"/>
    <x v="0"/>
    <x v="0"/>
    <s v="Account Issue"/>
    <x v="1"/>
    <n v="55.000000001164153"/>
    <x v="70"/>
  </r>
  <r>
    <x v="97"/>
    <d v="2024-01-16T20:36:00"/>
    <d v="2024-01-16T21:31:00"/>
    <d v="2024-01-17T09:45:00"/>
    <x v="0"/>
    <x v="1"/>
    <s v="Account Issue"/>
    <x v="2"/>
    <n v="55.000000001164153"/>
    <x v="71"/>
  </r>
  <r>
    <x v="98"/>
    <d v="2024-01-24T10:21:00"/>
    <d v="2024-01-24T12:12:00"/>
    <d v="2024-01-24T19:27:00"/>
    <x v="0"/>
    <x v="1"/>
    <s v="Technical Error"/>
    <x v="1"/>
    <n v="110.99999999511056"/>
    <x v="72"/>
  </r>
  <r>
    <x v="99"/>
    <d v="2024-01-31T09:23:00"/>
    <d v="2024-01-31T10:57:00"/>
    <s v=""/>
    <x v="1"/>
    <x v="1"/>
    <s v="Account Issue"/>
    <x v="0"/>
    <n v="94.000000002561137"/>
    <x v="3"/>
  </r>
  <r>
    <x v="100"/>
    <m/>
    <m/>
    <m/>
    <x v="2"/>
    <x v="3"/>
    <m/>
    <x v="4"/>
    <m/>
    <x v="73"/>
  </r>
  <r>
    <x v="100"/>
    <m/>
    <m/>
    <m/>
    <x v="2"/>
    <x v="3"/>
    <m/>
    <x v="4"/>
    <m/>
    <x v="73"/>
  </r>
  <r>
    <x v="100"/>
    <m/>
    <m/>
    <m/>
    <x v="2"/>
    <x v="3"/>
    <m/>
    <x v="4"/>
    <m/>
    <x v="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77E2B-4B90-48F0-9D7F-6684AF9EE267}" name="PivotTable4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3:G6" firstHeaderRow="1" firstDataRow="1" firstDataCol="1"/>
  <pivotFields count="10">
    <pivotField dataField="1" showAll="0">
      <items count="102">
        <item x="0"/>
        <item x="9"/>
        <item x="9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x="100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Ticke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39619-9977-41A0-A156-4CC0506ABB90}" name="PivotTable2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1:C16" firstHeaderRow="0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1"/>
        <item x="0"/>
        <item x="3"/>
        <item h="1" x="4"/>
        <item t="default"/>
      </items>
    </pivotField>
    <pivotField showAll="0"/>
    <pivotField dataField="1" showAll="0">
      <items count="75">
        <item x="45"/>
        <item x="31"/>
        <item x="34"/>
        <item x="5"/>
        <item x="7"/>
        <item x="53"/>
        <item x="60"/>
        <item x="58"/>
        <item x="64"/>
        <item x="39"/>
        <item x="67"/>
        <item x="59"/>
        <item x="4"/>
        <item x="63"/>
        <item x="2"/>
        <item x="55"/>
        <item x="42"/>
        <item x="8"/>
        <item x="61"/>
        <item x="52"/>
        <item x="51"/>
        <item x="35"/>
        <item x="13"/>
        <item x="33"/>
        <item x="32"/>
        <item x="56"/>
        <item x="54"/>
        <item x="46"/>
        <item x="70"/>
        <item x="57"/>
        <item x="27"/>
        <item x="22"/>
        <item x="49"/>
        <item x="36"/>
        <item x="11"/>
        <item x="14"/>
        <item x="24"/>
        <item x="28"/>
        <item x="43"/>
        <item x="1"/>
        <item x="0"/>
        <item x="10"/>
        <item x="20"/>
        <item x="29"/>
        <item x="50"/>
        <item x="12"/>
        <item x="30"/>
        <item x="66"/>
        <item x="48"/>
        <item x="72"/>
        <item x="65"/>
        <item x="26"/>
        <item x="15"/>
        <item x="17"/>
        <item x="62"/>
        <item x="40"/>
        <item x="37"/>
        <item x="9"/>
        <item x="47"/>
        <item x="16"/>
        <item x="38"/>
        <item x="6"/>
        <item x="23"/>
        <item x="25"/>
        <item x="41"/>
        <item x="21"/>
        <item x="18"/>
        <item x="71"/>
        <item x="44"/>
        <item x="68"/>
        <item x="19"/>
        <item x="69"/>
        <item x="3"/>
        <item x="7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AT_Hours" fld="9" subtotal="average" baseField="7" baseItem="0"/>
    <dataField name="Count of Agent_Nam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F99CF-C3FC-498D-A757-B2EC80052CD3}" name="PivotTable1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0" firstDataRow="1" firstDataCol="1"/>
  <pivotFields count="10"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dataField="1" showAll="0"/>
    <pivotField dataField="1" showAll="0">
      <items count="75">
        <item x="45"/>
        <item x="31"/>
        <item x="34"/>
        <item x="5"/>
        <item x="7"/>
        <item x="53"/>
        <item x="60"/>
        <item x="58"/>
        <item x="64"/>
        <item x="39"/>
        <item x="67"/>
        <item x="59"/>
        <item x="4"/>
        <item x="63"/>
        <item x="2"/>
        <item x="55"/>
        <item x="42"/>
        <item x="8"/>
        <item x="61"/>
        <item x="52"/>
        <item x="51"/>
        <item x="35"/>
        <item x="13"/>
        <item x="33"/>
        <item x="32"/>
        <item x="56"/>
        <item x="54"/>
        <item x="46"/>
        <item x="70"/>
        <item x="57"/>
        <item x="27"/>
        <item x="22"/>
        <item x="49"/>
        <item x="36"/>
        <item x="11"/>
        <item x="14"/>
        <item x="24"/>
        <item x="28"/>
        <item x="43"/>
        <item x="1"/>
        <item x="0"/>
        <item x="10"/>
        <item x="20"/>
        <item x="29"/>
        <item x="50"/>
        <item x="12"/>
        <item x="30"/>
        <item x="66"/>
        <item x="48"/>
        <item x="72"/>
        <item x="65"/>
        <item x="26"/>
        <item x="15"/>
        <item x="17"/>
        <item x="62"/>
        <item x="40"/>
        <item x="37"/>
        <item x="9"/>
        <item x="47"/>
        <item x="16"/>
        <item x="38"/>
        <item x="6"/>
        <item x="23"/>
        <item x="25"/>
        <item x="41"/>
        <item x="21"/>
        <item x="18"/>
        <item x="71"/>
        <item x="44"/>
        <item x="68"/>
        <item x="19"/>
        <item x="69"/>
        <item x="3"/>
        <item x="7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RT_Minutes" fld="8" subtotal="average" baseField="5" baseItem="2"/>
    <dataField name="Average of TAT_Hours" fld="9" subtotal="average" baseField="5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6683-270A-41D4-B6A2-558FF5223468}">
  <dimension ref="A1:J103"/>
  <sheetViews>
    <sheetView tabSelected="1" workbookViewId="0">
      <selection activeCell="B17" sqref="B17"/>
    </sheetView>
  </sheetViews>
  <sheetFormatPr defaultColWidth="23.5703125" defaultRowHeight="15" x14ac:dyDescent="0.25"/>
  <cols>
    <col min="1" max="1" width="23.5703125" style="1"/>
    <col min="2" max="3" width="23.5703125" style="4"/>
    <col min="4" max="8" width="23.5703125" style="1"/>
    <col min="9" max="9" width="23.5703125" style="8"/>
    <col min="10" max="10" width="23.5703125" style="6"/>
    <col min="11" max="16384" width="23.5703125" style="1"/>
  </cols>
  <sheetData>
    <row r="1" spans="1:10" s="2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122</v>
      </c>
      <c r="J1" s="5" t="s">
        <v>123</v>
      </c>
    </row>
    <row r="2" spans="1:10" x14ac:dyDescent="0.25">
      <c r="A2" s="1" t="s">
        <v>8</v>
      </c>
      <c r="B2" s="4">
        <v>45313.808333333334</v>
      </c>
      <c r="C2" s="4">
        <v>45313.849305555559</v>
      </c>
      <c r="D2" s="4">
        <v>45314.137500000004</v>
      </c>
      <c r="E2" s="1" t="s">
        <v>119</v>
      </c>
      <c r="F2" s="1" t="s">
        <v>9</v>
      </c>
      <c r="G2" s="1" t="s">
        <v>10</v>
      </c>
      <c r="H2" s="1" t="s">
        <v>11</v>
      </c>
      <c r="I2" s="8">
        <v>59.00000000372529</v>
      </c>
      <c r="J2" s="6">
        <f>IF(D2="","",(D2-B2)*24)</f>
        <v>7.9000000000814907</v>
      </c>
    </row>
    <row r="3" spans="1:10" x14ac:dyDescent="0.25">
      <c r="A3" s="1" t="s">
        <v>12</v>
      </c>
      <c r="B3" s="4">
        <v>45310.530555555553</v>
      </c>
      <c r="C3" s="4">
        <v>45310.563194444439</v>
      </c>
      <c r="D3" s="4">
        <v>45310.854861111104</v>
      </c>
      <c r="E3" s="1" t="s">
        <v>119</v>
      </c>
      <c r="F3" s="1" t="s">
        <v>9</v>
      </c>
      <c r="G3" s="1" t="s">
        <v>10</v>
      </c>
      <c r="H3" s="1" t="s">
        <v>11</v>
      </c>
      <c r="I3" s="8">
        <v>46.999999996041879</v>
      </c>
      <c r="J3" s="6">
        <f t="shared" ref="J3:J66" si="0">IF(D3="","",(D3-B3)*24)</f>
        <v>7.783333333209157</v>
      </c>
    </row>
    <row r="4" spans="1:10" x14ac:dyDescent="0.25">
      <c r="A4" s="1" t="s">
        <v>13</v>
      </c>
      <c r="B4" s="4">
        <v>45293.654861111114</v>
      </c>
      <c r="C4" s="4">
        <v>45293.666666666664</v>
      </c>
      <c r="D4" s="4">
        <v>45293.825694444451</v>
      </c>
      <c r="E4" s="1" t="s">
        <v>119</v>
      </c>
      <c r="F4" s="1" t="s">
        <v>9</v>
      </c>
      <c r="G4" s="1" t="s">
        <v>14</v>
      </c>
      <c r="H4" s="1" t="s">
        <v>15</v>
      </c>
      <c r="I4" s="8">
        <v>16.999999992549419</v>
      </c>
      <c r="J4" s="6">
        <f t="shared" si="0"/>
        <v>4.1000000000931323</v>
      </c>
    </row>
    <row r="5" spans="1:10" x14ac:dyDescent="0.25">
      <c r="A5" s="1" t="s">
        <v>16</v>
      </c>
      <c r="B5" s="4">
        <v>45311.574999999997</v>
      </c>
      <c r="C5" s="4">
        <v>45311.642361111109</v>
      </c>
      <c r="D5" s="4" t="s">
        <v>120</v>
      </c>
      <c r="E5" s="1" t="s">
        <v>121</v>
      </c>
      <c r="F5" s="1" t="s">
        <v>17</v>
      </c>
      <c r="G5" s="1" t="s">
        <v>18</v>
      </c>
      <c r="H5" s="1" t="s">
        <v>15</v>
      </c>
      <c r="I5" s="8">
        <v>97.000000001862645</v>
      </c>
      <c r="J5" s="6" t="str">
        <f t="shared" si="0"/>
        <v/>
      </c>
    </row>
    <row r="6" spans="1:10" x14ac:dyDescent="0.25">
      <c r="A6" s="1" t="s">
        <v>19</v>
      </c>
      <c r="B6" s="4">
        <v>45319.629861111112</v>
      </c>
      <c r="C6" s="4">
        <v>45319.663194444445</v>
      </c>
      <c r="D6" s="4">
        <v>45319.786805555559</v>
      </c>
      <c r="E6" s="1" t="s">
        <v>119</v>
      </c>
      <c r="F6" s="1" t="s">
        <v>9</v>
      </c>
      <c r="G6" s="1" t="s">
        <v>10</v>
      </c>
      <c r="H6" s="1" t="s">
        <v>20</v>
      </c>
      <c r="I6" s="8">
        <v>47.999999999301508</v>
      </c>
      <c r="J6" s="6">
        <f t="shared" si="0"/>
        <v>3.7666666667209938</v>
      </c>
    </row>
    <row r="7" spans="1:10" x14ac:dyDescent="0.25">
      <c r="A7" s="1" t="s">
        <v>21</v>
      </c>
      <c r="B7" s="4">
        <v>45303.654166666667</v>
      </c>
      <c r="C7" s="4">
        <v>45303.65902777778</v>
      </c>
      <c r="D7" s="4">
        <v>45303.779166666667</v>
      </c>
      <c r="E7" s="1" t="s">
        <v>119</v>
      </c>
      <c r="F7" s="1" t="s">
        <v>22</v>
      </c>
      <c r="G7" s="1" t="s">
        <v>14</v>
      </c>
      <c r="H7" s="1" t="s">
        <v>20</v>
      </c>
      <c r="I7" s="8">
        <v>7.0000000018626451</v>
      </c>
      <c r="J7" s="6">
        <f t="shared" si="0"/>
        <v>3</v>
      </c>
    </row>
    <row r="8" spans="1:10" x14ac:dyDescent="0.25">
      <c r="A8" s="1" t="s">
        <v>23</v>
      </c>
      <c r="B8" s="4">
        <v>45315.368055555555</v>
      </c>
      <c r="C8" s="4">
        <v>45315.691666666666</v>
      </c>
      <c r="D8" s="4">
        <v>45315.857638888891</v>
      </c>
      <c r="E8" s="1" t="s">
        <v>119</v>
      </c>
      <c r="F8" s="1" t="s">
        <v>17</v>
      </c>
      <c r="G8" s="1" t="s">
        <v>14</v>
      </c>
      <c r="H8" s="1" t="s">
        <v>11</v>
      </c>
      <c r="I8" s="8">
        <v>465.99999999976717</v>
      </c>
      <c r="J8" s="6">
        <f t="shared" si="0"/>
        <v>11.750000000058208</v>
      </c>
    </row>
    <row r="9" spans="1:10" x14ac:dyDescent="0.25">
      <c r="A9" s="1" t="s">
        <v>24</v>
      </c>
      <c r="B9" s="4">
        <v>45294.54583333333</v>
      </c>
      <c r="C9" s="4">
        <v>45294.5625</v>
      </c>
      <c r="D9" s="4">
        <v>45294.674305555556</v>
      </c>
      <c r="E9" s="1" t="s">
        <v>119</v>
      </c>
      <c r="F9" s="1" t="s">
        <v>22</v>
      </c>
      <c r="G9" s="1" t="s">
        <v>18</v>
      </c>
      <c r="H9" s="1" t="s">
        <v>11</v>
      </c>
      <c r="I9" s="8">
        <v>24.000000004889444</v>
      </c>
      <c r="J9" s="6">
        <f t="shared" si="0"/>
        <v>3.0833333334303461</v>
      </c>
    </row>
    <row r="10" spans="1:10" x14ac:dyDescent="0.25">
      <c r="A10" s="1" t="s">
        <v>25</v>
      </c>
      <c r="B10" s="4">
        <v>45317.419444444444</v>
      </c>
      <c r="C10" s="4">
        <v>45317.434027777774</v>
      </c>
      <c r="D10" s="4" t="s">
        <v>120</v>
      </c>
      <c r="E10" s="1" t="s">
        <v>121</v>
      </c>
      <c r="F10" s="1" t="s">
        <v>22</v>
      </c>
      <c r="G10" s="1" t="s">
        <v>10</v>
      </c>
      <c r="H10" s="1" t="s">
        <v>20</v>
      </c>
      <c r="I10" s="8">
        <v>20.999999995110556</v>
      </c>
      <c r="J10" s="6" t="str">
        <f t="shared" si="0"/>
        <v/>
      </c>
    </row>
    <row r="11" spans="1:10" x14ac:dyDescent="0.25">
      <c r="A11" s="1" t="s">
        <v>26</v>
      </c>
      <c r="B11" s="4">
        <v>45317.620833333334</v>
      </c>
      <c r="C11" s="4">
        <v>45317.625694444447</v>
      </c>
      <c r="D11" s="4">
        <v>45317.811111111114</v>
      </c>
      <c r="E11" s="1" t="s">
        <v>119</v>
      </c>
      <c r="F11" s="1" t="s">
        <v>22</v>
      </c>
      <c r="G11" s="1" t="s">
        <v>14</v>
      </c>
      <c r="H11" s="1" t="s">
        <v>27</v>
      </c>
      <c r="I11" s="8">
        <v>7.0000000018626451</v>
      </c>
      <c r="J11" s="6">
        <f t="shared" si="0"/>
        <v>4.5666666667093523</v>
      </c>
    </row>
    <row r="12" spans="1:10" x14ac:dyDescent="0.25">
      <c r="A12" s="1" t="s">
        <v>28</v>
      </c>
      <c r="B12" s="4">
        <v>45312.546527777777</v>
      </c>
      <c r="C12" s="4">
        <v>45312.585416666669</v>
      </c>
      <c r="D12" s="4">
        <v>45312.979166666672</v>
      </c>
      <c r="E12" s="1" t="s">
        <v>119</v>
      </c>
      <c r="F12" s="1" t="s">
        <v>17</v>
      </c>
      <c r="G12" s="1" t="s">
        <v>18</v>
      </c>
      <c r="H12" s="1" t="s">
        <v>27</v>
      </c>
      <c r="I12" s="8">
        <v>56.000000004423782</v>
      </c>
      <c r="J12" s="6">
        <f t="shared" si="0"/>
        <v>10.383333333476912</v>
      </c>
    </row>
    <row r="13" spans="1:10" x14ac:dyDescent="0.25">
      <c r="A13" s="1" t="s">
        <v>29</v>
      </c>
      <c r="B13" s="4">
        <v>45307.740972222222</v>
      </c>
      <c r="C13" s="4">
        <v>45307.761111111111</v>
      </c>
      <c r="D13" s="4" t="s">
        <v>120</v>
      </c>
      <c r="E13" s="1" t="s">
        <v>121</v>
      </c>
      <c r="F13" s="1" t="s">
        <v>22</v>
      </c>
      <c r="G13" s="1" t="s">
        <v>10</v>
      </c>
      <c r="H13" s="1" t="s">
        <v>20</v>
      </c>
      <c r="I13" s="8">
        <v>29.000000000232831</v>
      </c>
      <c r="J13" s="6" t="str">
        <f t="shared" si="0"/>
        <v/>
      </c>
    </row>
    <row r="14" spans="1:10" x14ac:dyDescent="0.25">
      <c r="A14" s="1" t="s">
        <v>30</v>
      </c>
      <c r="B14" s="4">
        <v>45306.515277777777</v>
      </c>
      <c r="C14" s="4">
        <v>45306.549305555556</v>
      </c>
      <c r="D14" s="4">
        <v>45306.849305555559</v>
      </c>
      <c r="E14" s="1" t="s">
        <v>119</v>
      </c>
      <c r="F14" s="1" t="s">
        <v>9</v>
      </c>
      <c r="G14" s="1" t="s">
        <v>31</v>
      </c>
      <c r="H14" s="1" t="s">
        <v>27</v>
      </c>
      <c r="I14" s="8">
        <v>49.000000002561137</v>
      </c>
      <c r="J14" s="6">
        <f t="shared" si="0"/>
        <v>8.0166666667792015</v>
      </c>
    </row>
    <row r="15" spans="1:10" x14ac:dyDescent="0.25">
      <c r="A15" s="1" t="s">
        <v>32</v>
      </c>
      <c r="B15" s="4">
        <v>45308.74722222222</v>
      </c>
      <c r="C15" s="4">
        <v>45308.78125</v>
      </c>
      <c r="D15" s="4">
        <v>45309.052777777775</v>
      </c>
      <c r="E15" s="1" t="s">
        <v>119</v>
      </c>
      <c r="F15" s="1" t="s">
        <v>17</v>
      </c>
      <c r="G15" s="1" t="s">
        <v>10</v>
      </c>
      <c r="H15" s="1" t="s">
        <v>15</v>
      </c>
      <c r="I15" s="8">
        <v>49.000000002561137</v>
      </c>
      <c r="J15" s="6">
        <f t="shared" si="0"/>
        <v>7.3333333333139308</v>
      </c>
    </row>
    <row r="16" spans="1:10" x14ac:dyDescent="0.25">
      <c r="A16" s="1" t="s">
        <v>33</v>
      </c>
      <c r="B16" s="4">
        <v>45299.621527777781</v>
      </c>
      <c r="C16" s="4">
        <v>45299.654861111114</v>
      </c>
      <c r="D16" s="4" t="s">
        <v>120</v>
      </c>
      <c r="E16" s="1" t="s">
        <v>121</v>
      </c>
      <c r="F16" s="1" t="s">
        <v>9</v>
      </c>
      <c r="G16" s="1" t="s">
        <v>10</v>
      </c>
      <c r="H16" s="1" t="s">
        <v>11</v>
      </c>
      <c r="I16" s="8">
        <v>47.999999999301508</v>
      </c>
      <c r="J16" s="6" t="str">
        <f t="shared" si="0"/>
        <v/>
      </c>
    </row>
    <row r="17" spans="1:10" x14ac:dyDescent="0.25">
      <c r="A17" s="1" t="s">
        <v>34</v>
      </c>
      <c r="B17" s="4">
        <v>45310.352777777778</v>
      </c>
      <c r="C17" s="4">
        <v>45310.643750000003</v>
      </c>
      <c r="D17" s="4">
        <v>45310.716666666667</v>
      </c>
      <c r="E17" s="1" t="s">
        <v>119</v>
      </c>
      <c r="F17" s="1" t="s">
        <v>17</v>
      </c>
      <c r="G17" s="1" t="s">
        <v>31</v>
      </c>
      <c r="H17" s="1" t="s">
        <v>20</v>
      </c>
      <c r="I17" s="8">
        <v>419.00000000372529</v>
      </c>
      <c r="J17" s="6">
        <f t="shared" si="0"/>
        <v>8.7333333333372138</v>
      </c>
    </row>
    <row r="18" spans="1:10" x14ac:dyDescent="0.25">
      <c r="A18" s="1" t="s">
        <v>35</v>
      </c>
      <c r="B18" s="4">
        <v>45309.334027777775</v>
      </c>
      <c r="C18" s="4">
        <v>45309.352777777778</v>
      </c>
      <c r="D18" s="4">
        <v>45309.535416666666</v>
      </c>
      <c r="E18" s="1" t="s">
        <v>119</v>
      </c>
      <c r="F18" s="1" t="s">
        <v>22</v>
      </c>
      <c r="G18" s="1" t="s">
        <v>14</v>
      </c>
      <c r="H18" s="1" t="s">
        <v>11</v>
      </c>
      <c r="I18" s="8">
        <v>27.000000004190952</v>
      </c>
      <c r="J18" s="6">
        <f t="shared" si="0"/>
        <v>4.8333333333721384</v>
      </c>
    </row>
    <row r="19" spans="1:10" x14ac:dyDescent="0.25">
      <c r="A19" s="1" t="s">
        <v>36</v>
      </c>
      <c r="B19" s="4">
        <v>45294.48333333333</v>
      </c>
      <c r="C19" s="4">
        <v>45294.49722222222</v>
      </c>
      <c r="D19" s="4">
        <v>45294.797916666663</v>
      </c>
      <c r="E19" s="1" t="s">
        <v>119</v>
      </c>
      <c r="F19" s="1" t="s">
        <v>9</v>
      </c>
      <c r="G19" s="1" t="s">
        <v>10</v>
      </c>
      <c r="H19" s="1" t="s">
        <v>11</v>
      </c>
      <c r="I19" s="8">
        <v>20.000000002328306</v>
      </c>
      <c r="J19" s="6">
        <f t="shared" si="0"/>
        <v>7.5499999999883585</v>
      </c>
    </row>
    <row r="20" spans="1:10" x14ac:dyDescent="0.25">
      <c r="A20" s="1" t="s">
        <v>37</v>
      </c>
      <c r="B20" s="4">
        <v>45306.86041666667</v>
      </c>
      <c r="C20" s="4">
        <v>45306.896527777782</v>
      </c>
      <c r="D20" s="4">
        <v>45307.254861111112</v>
      </c>
      <c r="E20" s="1" t="s">
        <v>119</v>
      </c>
      <c r="F20" s="1" t="s">
        <v>9</v>
      </c>
      <c r="G20" s="1" t="s">
        <v>14</v>
      </c>
      <c r="H20" s="1" t="s">
        <v>27</v>
      </c>
      <c r="I20" s="8">
        <v>52.000000001862645</v>
      </c>
      <c r="J20" s="6">
        <f t="shared" si="0"/>
        <v>9.46666666661622</v>
      </c>
    </row>
    <row r="21" spans="1:10" x14ac:dyDescent="0.25">
      <c r="A21" s="1" t="s">
        <v>38</v>
      </c>
      <c r="B21" s="4">
        <v>45321.503472222219</v>
      </c>
      <c r="C21" s="4">
        <v>45321.583333333328</v>
      </c>
      <c r="D21" s="4">
        <v>45321.94930555555</v>
      </c>
      <c r="E21" s="1" t="s">
        <v>119</v>
      </c>
      <c r="F21" s="1" t="s">
        <v>17</v>
      </c>
      <c r="G21" s="1" t="s">
        <v>10</v>
      </c>
      <c r="H21" s="1" t="s">
        <v>11</v>
      </c>
      <c r="I21" s="8">
        <v>114.99999999767169</v>
      </c>
      <c r="J21" s="6">
        <f t="shared" si="0"/>
        <v>10.699999999953434</v>
      </c>
    </row>
    <row r="22" spans="1:10" x14ac:dyDescent="0.25">
      <c r="A22" s="1" t="s">
        <v>39</v>
      </c>
      <c r="B22" s="4">
        <v>45313.728472222225</v>
      </c>
      <c r="C22" s="4">
        <v>45313.76666666667</v>
      </c>
      <c r="D22" s="4">
        <v>45314.129166666673</v>
      </c>
      <c r="E22" s="1" t="s">
        <v>119</v>
      </c>
      <c r="F22" s="1" t="s">
        <v>9</v>
      </c>
      <c r="G22" s="1" t="s">
        <v>10</v>
      </c>
      <c r="H22" s="1" t="s">
        <v>11</v>
      </c>
      <c r="I22" s="8">
        <v>55.000000001164153</v>
      </c>
      <c r="J22" s="6">
        <f t="shared" si="0"/>
        <v>9.6166666667559184</v>
      </c>
    </row>
    <row r="23" spans="1:10" x14ac:dyDescent="0.25">
      <c r="A23" s="1" t="s">
        <v>40</v>
      </c>
      <c r="B23" s="4">
        <v>45293.347916666666</v>
      </c>
      <c r="C23" s="4">
        <v>45293.372916666667</v>
      </c>
      <c r="D23" s="4">
        <v>45293.886111111111</v>
      </c>
      <c r="E23" s="1" t="s">
        <v>119</v>
      </c>
      <c r="F23" s="1" t="s">
        <v>17</v>
      </c>
      <c r="G23" s="1" t="s">
        <v>18</v>
      </c>
      <c r="H23" s="1" t="s">
        <v>27</v>
      </c>
      <c r="I23" s="8">
        <v>36.000000002095476</v>
      </c>
      <c r="J23" s="6">
        <f t="shared" si="0"/>
        <v>12.916666666686069</v>
      </c>
    </row>
    <row r="24" spans="1:10" x14ac:dyDescent="0.25">
      <c r="A24" s="1" t="s">
        <v>41</v>
      </c>
      <c r="B24" s="4">
        <v>45298.716666666667</v>
      </c>
      <c r="C24" s="4">
        <v>45298.737500000003</v>
      </c>
      <c r="D24" s="4" t="s">
        <v>120</v>
      </c>
      <c r="E24" s="1" t="s">
        <v>121</v>
      </c>
      <c r="F24" s="1" t="s">
        <v>9</v>
      </c>
      <c r="G24" s="1" t="s">
        <v>14</v>
      </c>
      <c r="H24" s="1" t="s">
        <v>20</v>
      </c>
      <c r="I24" s="8">
        <v>30.00000000349246</v>
      </c>
      <c r="J24" s="6" t="str">
        <f t="shared" si="0"/>
        <v/>
      </c>
    </row>
    <row r="25" spans="1:10" x14ac:dyDescent="0.25">
      <c r="A25" s="1" t="s">
        <v>42</v>
      </c>
      <c r="B25" s="4">
        <v>45305.427083333336</v>
      </c>
      <c r="C25" s="4">
        <v>45305.510416666672</v>
      </c>
      <c r="D25" s="4">
        <v>45306.000694444447</v>
      </c>
      <c r="E25" s="1" t="s">
        <v>119</v>
      </c>
      <c r="F25" s="1" t="s">
        <v>17</v>
      </c>
      <c r="G25" s="1" t="s">
        <v>31</v>
      </c>
      <c r="H25" s="1" t="s">
        <v>11</v>
      </c>
      <c r="I25" s="8">
        <v>120.00000000349246</v>
      </c>
      <c r="J25" s="6">
        <f t="shared" si="0"/>
        <v>13.766666666662786</v>
      </c>
    </row>
    <row r="26" spans="1:10" x14ac:dyDescent="0.25">
      <c r="A26" s="1" t="s">
        <v>43</v>
      </c>
      <c r="B26" s="4">
        <v>45308.667361111111</v>
      </c>
      <c r="C26" s="4">
        <v>45308.698611111111</v>
      </c>
      <c r="D26" s="4">
        <v>45309.003472222219</v>
      </c>
      <c r="E26" s="1" t="s">
        <v>119</v>
      </c>
      <c r="F26" s="1" t="s">
        <v>9</v>
      </c>
      <c r="G26" s="1" t="s">
        <v>10</v>
      </c>
      <c r="H26" s="1" t="s">
        <v>15</v>
      </c>
      <c r="I26" s="8">
        <v>45</v>
      </c>
      <c r="J26" s="6">
        <f t="shared" si="0"/>
        <v>8.066666666592937</v>
      </c>
    </row>
    <row r="27" spans="1:10" x14ac:dyDescent="0.25">
      <c r="A27" s="1" t="s">
        <v>44</v>
      </c>
      <c r="B27" s="4">
        <v>45306.645833333336</v>
      </c>
      <c r="C27" s="4">
        <v>45306.710416666669</v>
      </c>
      <c r="D27" s="4">
        <v>45307.165972222225</v>
      </c>
      <c r="E27" s="1" t="s">
        <v>119</v>
      </c>
      <c r="F27" s="1" t="s">
        <v>17</v>
      </c>
      <c r="G27" s="1" t="s">
        <v>14</v>
      </c>
      <c r="H27" s="1" t="s">
        <v>15</v>
      </c>
      <c r="I27" s="8">
        <v>92.999999999301508</v>
      </c>
      <c r="J27" s="6">
        <f t="shared" si="0"/>
        <v>12.483333333337214</v>
      </c>
    </row>
    <row r="28" spans="1:10" x14ac:dyDescent="0.25">
      <c r="A28" s="1" t="s">
        <v>45</v>
      </c>
      <c r="B28" s="4">
        <v>45302.651388888888</v>
      </c>
      <c r="C28" s="4">
        <v>45302.723611111112</v>
      </c>
      <c r="D28" s="4" t="s">
        <v>120</v>
      </c>
      <c r="E28" s="1" t="s">
        <v>121</v>
      </c>
      <c r="F28" s="1" t="s">
        <v>17</v>
      </c>
      <c r="G28" s="1" t="s">
        <v>14</v>
      </c>
      <c r="H28" s="1" t="s">
        <v>27</v>
      </c>
      <c r="I28" s="8">
        <v>104.00000000372529</v>
      </c>
      <c r="J28" s="6" t="str">
        <f t="shared" si="0"/>
        <v/>
      </c>
    </row>
    <row r="29" spans="1:10" x14ac:dyDescent="0.25">
      <c r="A29" s="1" t="s">
        <v>46</v>
      </c>
      <c r="B29" s="4">
        <v>45311.369444444441</v>
      </c>
      <c r="C29" s="4">
        <v>45311.411111111105</v>
      </c>
      <c r="D29" s="4" t="s">
        <v>120</v>
      </c>
      <c r="E29" s="1" t="s">
        <v>121</v>
      </c>
      <c r="F29" s="1" t="s">
        <v>17</v>
      </c>
      <c r="G29" s="1" t="s">
        <v>18</v>
      </c>
      <c r="H29" s="1" t="s">
        <v>20</v>
      </c>
      <c r="I29" s="8">
        <v>59.99999999650754</v>
      </c>
      <c r="J29" s="6" t="str">
        <f t="shared" si="0"/>
        <v/>
      </c>
    </row>
    <row r="30" spans="1:10" x14ac:dyDescent="0.25">
      <c r="A30" s="1" t="s">
        <v>47</v>
      </c>
      <c r="B30" s="4">
        <v>45317.452777777777</v>
      </c>
      <c r="C30" s="4">
        <v>45317.492361111108</v>
      </c>
      <c r="D30" s="4">
        <v>45317.74722222222</v>
      </c>
      <c r="E30" s="1" t="s">
        <v>119</v>
      </c>
      <c r="F30" s="1" t="s">
        <v>17</v>
      </c>
      <c r="G30" s="1" t="s">
        <v>31</v>
      </c>
      <c r="H30" s="1" t="s">
        <v>15</v>
      </c>
      <c r="I30" s="8">
        <v>56.999999997206032</v>
      </c>
      <c r="J30" s="6">
        <f t="shared" si="0"/>
        <v>7.0666666666511446</v>
      </c>
    </row>
    <row r="31" spans="1:10" x14ac:dyDescent="0.25">
      <c r="A31" s="1" t="s">
        <v>48</v>
      </c>
      <c r="B31" s="4">
        <v>45295.859722222223</v>
      </c>
      <c r="C31" s="4">
        <v>45295.883333333331</v>
      </c>
      <c r="D31" s="4" t="s">
        <v>120</v>
      </c>
      <c r="E31" s="1" t="s">
        <v>121</v>
      </c>
      <c r="F31" s="1" t="s">
        <v>9</v>
      </c>
      <c r="G31" s="1" t="s">
        <v>14</v>
      </c>
      <c r="H31" s="1" t="s">
        <v>15</v>
      </c>
      <c r="I31" s="8">
        <v>33.999999995576218</v>
      </c>
      <c r="J31" s="6" t="str">
        <f t="shared" si="0"/>
        <v/>
      </c>
    </row>
    <row r="32" spans="1:10" x14ac:dyDescent="0.25">
      <c r="A32" s="1" t="s">
        <v>49</v>
      </c>
      <c r="B32" s="4">
        <v>45306.85</v>
      </c>
      <c r="C32" s="4">
        <v>45306.886805555558</v>
      </c>
      <c r="D32" s="4">
        <v>45307.345833333333</v>
      </c>
      <c r="E32" s="1" t="s">
        <v>119</v>
      </c>
      <c r="F32" s="1" t="s">
        <v>17</v>
      </c>
      <c r="G32" s="1" t="s">
        <v>10</v>
      </c>
      <c r="H32" s="1" t="s">
        <v>15</v>
      </c>
      <c r="I32" s="8">
        <v>53.000000005122274</v>
      </c>
      <c r="J32" s="6">
        <f t="shared" si="0"/>
        <v>11.900000000023283</v>
      </c>
    </row>
    <row r="33" spans="1:10" x14ac:dyDescent="0.25">
      <c r="A33" s="1" t="s">
        <v>50</v>
      </c>
      <c r="B33" s="4">
        <v>45311.832638888889</v>
      </c>
      <c r="C33" s="4">
        <v>45311.90347222222</v>
      </c>
      <c r="D33" s="4" t="s">
        <v>120</v>
      </c>
      <c r="E33" s="1" t="s">
        <v>121</v>
      </c>
      <c r="F33" s="1" t="s">
        <v>17</v>
      </c>
      <c r="G33" s="1" t="s">
        <v>10</v>
      </c>
      <c r="H33" s="1" t="s">
        <v>20</v>
      </c>
      <c r="I33" s="8">
        <v>101.99999999720603</v>
      </c>
      <c r="J33" s="6" t="str">
        <f t="shared" si="0"/>
        <v/>
      </c>
    </row>
    <row r="34" spans="1:10" x14ac:dyDescent="0.25">
      <c r="A34" s="1" t="s">
        <v>51</v>
      </c>
      <c r="B34" s="4">
        <v>45320.813194444447</v>
      </c>
      <c r="C34" s="4">
        <v>45320.845138888893</v>
      </c>
      <c r="D34" s="4">
        <v>45320.970138888893</v>
      </c>
      <c r="E34" s="1" t="s">
        <v>119</v>
      </c>
      <c r="F34" s="1" t="s">
        <v>9</v>
      </c>
      <c r="G34" s="1" t="s">
        <v>31</v>
      </c>
      <c r="H34" s="1" t="s">
        <v>15</v>
      </c>
      <c r="I34" s="8">
        <v>46.000000003259629</v>
      </c>
      <c r="J34" s="6">
        <f t="shared" si="0"/>
        <v>3.7666666667209938</v>
      </c>
    </row>
    <row r="35" spans="1:10" x14ac:dyDescent="0.25">
      <c r="A35" s="1" t="s">
        <v>52</v>
      </c>
      <c r="B35" s="4">
        <v>45308.570833333331</v>
      </c>
      <c r="C35" s="4">
        <v>45308.828472222223</v>
      </c>
      <c r="D35" s="4">
        <v>45308.886805555558</v>
      </c>
      <c r="E35" s="1" t="s">
        <v>119</v>
      </c>
      <c r="F35" s="1" t="s">
        <v>22</v>
      </c>
      <c r="G35" s="1" t="s">
        <v>10</v>
      </c>
      <c r="H35" s="1" t="s">
        <v>27</v>
      </c>
      <c r="I35" s="8">
        <v>371.00000000442378</v>
      </c>
      <c r="J35" s="6">
        <f t="shared" si="0"/>
        <v>7.5833333334303461</v>
      </c>
    </row>
    <row r="36" spans="1:10" x14ac:dyDescent="0.25">
      <c r="A36" s="1" t="s">
        <v>53</v>
      </c>
      <c r="B36" s="4">
        <v>45308.390277777777</v>
      </c>
      <c r="C36" s="4">
        <v>45308.435416666667</v>
      </c>
      <c r="D36" s="4">
        <v>45308.889583333337</v>
      </c>
      <c r="E36" s="1" t="s">
        <v>119</v>
      </c>
      <c r="F36" s="1" t="s">
        <v>17</v>
      </c>
      <c r="G36" s="1" t="s">
        <v>14</v>
      </c>
      <c r="H36" s="1" t="s">
        <v>27</v>
      </c>
      <c r="I36" s="8">
        <v>65.000000002328306</v>
      </c>
      <c r="J36" s="6">
        <f t="shared" si="0"/>
        <v>11.983333333453629</v>
      </c>
    </row>
    <row r="37" spans="1:10" x14ac:dyDescent="0.25">
      <c r="A37" s="1" t="s">
        <v>54</v>
      </c>
      <c r="B37" s="4">
        <v>45295.740277777775</v>
      </c>
      <c r="C37" s="4">
        <v>45295.794444444444</v>
      </c>
      <c r="D37" s="4">
        <v>45296.125</v>
      </c>
      <c r="E37" s="1" t="s">
        <v>119</v>
      </c>
      <c r="F37" s="1" t="s">
        <v>17</v>
      </c>
      <c r="G37" s="1" t="s">
        <v>18</v>
      </c>
      <c r="H37" s="1" t="s">
        <v>15</v>
      </c>
      <c r="I37" s="8">
        <v>78.000000002793968</v>
      </c>
      <c r="J37" s="6">
        <f t="shared" si="0"/>
        <v>9.2333333333954215</v>
      </c>
    </row>
    <row r="38" spans="1:10" x14ac:dyDescent="0.25">
      <c r="A38" s="1" t="s">
        <v>55</v>
      </c>
      <c r="B38" s="4">
        <v>45311.393750000003</v>
      </c>
      <c r="C38" s="4">
        <v>45311.427777777782</v>
      </c>
      <c r="D38" s="4">
        <v>45311.651388888895</v>
      </c>
      <c r="E38" s="1" t="s">
        <v>119</v>
      </c>
      <c r="F38" s="1" t="s">
        <v>9</v>
      </c>
      <c r="G38" s="1" t="s">
        <v>10</v>
      </c>
      <c r="H38" s="1" t="s">
        <v>11</v>
      </c>
      <c r="I38" s="8">
        <v>49.000000002561137</v>
      </c>
      <c r="J38" s="6">
        <f t="shared" si="0"/>
        <v>6.183333333407063</v>
      </c>
    </row>
    <row r="39" spans="1:10" x14ac:dyDescent="0.25">
      <c r="A39" s="1" t="s">
        <v>56</v>
      </c>
      <c r="B39" s="4">
        <v>45295.870138888888</v>
      </c>
      <c r="C39" s="4">
        <v>45295.890277777777</v>
      </c>
      <c r="D39" s="4">
        <v>45296.186805555553</v>
      </c>
      <c r="E39" s="1" t="s">
        <v>119</v>
      </c>
      <c r="F39" s="1" t="s">
        <v>9</v>
      </c>
      <c r="G39" s="1" t="s">
        <v>18</v>
      </c>
      <c r="H39" s="1" t="s">
        <v>27</v>
      </c>
      <c r="I39" s="8">
        <v>29.000000000232831</v>
      </c>
      <c r="J39" s="6">
        <f t="shared" si="0"/>
        <v>7.5999999999767169</v>
      </c>
    </row>
    <row r="40" spans="1:10" x14ac:dyDescent="0.25">
      <c r="A40" s="1" t="s">
        <v>57</v>
      </c>
      <c r="B40" s="4">
        <v>45307.415972222225</v>
      </c>
      <c r="C40" s="4">
        <v>45307.452083333337</v>
      </c>
      <c r="D40" s="4">
        <v>45307.765972222223</v>
      </c>
      <c r="E40" s="1" t="s">
        <v>119</v>
      </c>
      <c r="F40" s="1" t="s">
        <v>9</v>
      </c>
      <c r="G40" s="1" t="s">
        <v>31</v>
      </c>
      <c r="H40" s="1" t="s">
        <v>20</v>
      </c>
      <c r="I40" s="8">
        <v>52.000000001862645</v>
      </c>
      <c r="J40" s="6">
        <f t="shared" si="0"/>
        <v>8.3999999999650754</v>
      </c>
    </row>
    <row r="41" spans="1:10" x14ac:dyDescent="0.25">
      <c r="A41" s="1" t="s">
        <v>58</v>
      </c>
      <c r="B41" s="4">
        <v>45299.853472222225</v>
      </c>
      <c r="C41" s="4">
        <v>45299.870138888895</v>
      </c>
      <c r="D41" s="4">
        <v>45300.220138888893</v>
      </c>
      <c r="E41" s="1" t="s">
        <v>119</v>
      </c>
      <c r="F41" s="1" t="s">
        <v>9</v>
      </c>
      <c r="G41" s="1" t="s">
        <v>10</v>
      </c>
      <c r="H41" s="1" t="s">
        <v>11</v>
      </c>
      <c r="I41" s="8">
        <v>24.000000004889444</v>
      </c>
      <c r="J41" s="6">
        <f t="shared" si="0"/>
        <v>8.8000000000465661</v>
      </c>
    </row>
    <row r="42" spans="1:10" x14ac:dyDescent="0.25">
      <c r="A42" s="1" t="s">
        <v>59</v>
      </c>
      <c r="B42" s="4">
        <v>45299.451388888891</v>
      </c>
      <c r="C42" s="4">
        <v>45299.465277777781</v>
      </c>
      <c r="D42" s="4">
        <v>45299.559722222228</v>
      </c>
      <c r="E42" s="1" t="s">
        <v>119</v>
      </c>
      <c r="F42" s="1" t="s">
        <v>9</v>
      </c>
      <c r="G42" s="1" t="s">
        <v>14</v>
      </c>
      <c r="H42" s="1" t="s">
        <v>11</v>
      </c>
      <c r="I42" s="8">
        <v>20.000000002328306</v>
      </c>
      <c r="J42" s="6">
        <f t="shared" si="0"/>
        <v>2.6000000000931323</v>
      </c>
    </row>
    <row r="43" spans="1:10" x14ac:dyDescent="0.25">
      <c r="A43" s="1" t="s">
        <v>60</v>
      </c>
      <c r="B43" s="4">
        <v>45306.85833333333</v>
      </c>
      <c r="C43" s="4">
        <v>45306.867361111108</v>
      </c>
      <c r="D43" s="4">
        <v>45307.068749999999</v>
      </c>
      <c r="E43" s="1" t="s">
        <v>119</v>
      </c>
      <c r="F43" s="1" t="s">
        <v>22</v>
      </c>
      <c r="G43" s="1" t="s">
        <v>31</v>
      </c>
      <c r="H43" s="1" t="s">
        <v>11</v>
      </c>
      <c r="I43" s="8">
        <v>13.000000000465661</v>
      </c>
      <c r="J43" s="6">
        <f t="shared" si="0"/>
        <v>5.0500000000465661</v>
      </c>
    </row>
    <row r="44" spans="1:10" x14ac:dyDescent="0.25">
      <c r="A44" s="1" t="s">
        <v>61</v>
      </c>
      <c r="B44" s="4">
        <v>45312.836805555555</v>
      </c>
      <c r="C44" s="4">
        <v>45312.84652777778</v>
      </c>
      <c r="D44" s="4">
        <v>45313.045833333337</v>
      </c>
      <c r="E44" s="1" t="s">
        <v>119</v>
      </c>
      <c r="F44" s="1" t="s">
        <v>22</v>
      </c>
      <c r="G44" s="1" t="s">
        <v>31</v>
      </c>
      <c r="H44" s="1" t="s">
        <v>15</v>
      </c>
      <c r="I44" s="8">
        <v>14.00000000372529</v>
      </c>
      <c r="J44" s="6">
        <f t="shared" si="0"/>
        <v>5.0166666667792015</v>
      </c>
    </row>
    <row r="45" spans="1:10" x14ac:dyDescent="0.25">
      <c r="A45" s="1" t="s">
        <v>62</v>
      </c>
      <c r="B45" s="4">
        <v>45293.75277777778</v>
      </c>
      <c r="C45" s="4">
        <v>45293.779166666667</v>
      </c>
      <c r="D45" s="4">
        <v>45293.872916666667</v>
      </c>
      <c r="E45" s="1" t="s">
        <v>119</v>
      </c>
      <c r="F45" s="1" t="s">
        <v>9</v>
      </c>
      <c r="G45" s="1" t="s">
        <v>18</v>
      </c>
      <c r="H45" s="1" t="s">
        <v>20</v>
      </c>
      <c r="I45" s="8">
        <v>37.999999998137355</v>
      </c>
      <c r="J45" s="6">
        <f t="shared" si="0"/>
        <v>2.8833333333022892</v>
      </c>
    </row>
    <row r="46" spans="1:10" x14ac:dyDescent="0.25">
      <c r="A46" s="1" t="s">
        <v>63</v>
      </c>
      <c r="B46" s="4">
        <v>45321.693055555559</v>
      </c>
      <c r="C46" s="4">
        <v>45321.697222222225</v>
      </c>
      <c r="D46" s="4">
        <v>45321.893055555556</v>
      </c>
      <c r="E46" s="1" t="s">
        <v>119</v>
      </c>
      <c r="F46" s="1" t="s">
        <v>22</v>
      </c>
      <c r="G46" s="1" t="s">
        <v>31</v>
      </c>
      <c r="H46" s="1" t="s">
        <v>11</v>
      </c>
      <c r="I46" s="8">
        <v>5.9999999986030161</v>
      </c>
      <c r="J46" s="6">
        <f t="shared" si="0"/>
        <v>4.7999999999301508</v>
      </c>
    </row>
    <row r="47" spans="1:10" x14ac:dyDescent="0.25">
      <c r="A47" s="1" t="s">
        <v>64</v>
      </c>
      <c r="B47" s="4">
        <v>45300.71875</v>
      </c>
      <c r="C47" s="4">
        <v>45300.751388888886</v>
      </c>
      <c r="D47" s="4">
        <v>45301.018749999996</v>
      </c>
      <c r="E47" s="1" t="s">
        <v>119</v>
      </c>
      <c r="F47" s="1" t="s">
        <v>9</v>
      </c>
      <c r="G47" s="1" t="s">
        <v>31</v>
      </c>
      <c r="H47" s="1" t="s">
        <v>11</v>
      </c>
      <c r="I47" s="8">
        <v>46.999999996041879</v>
      </c>
      <c r="J47" s="6">
        <f t="shared" si="0"/>
        <v>7.1999999998952262</v>
      </c>
    </row>
    <row r="48" spans="1:10" x14ac:dyDescent="0.25">
      <c r="A48" s="1" t="s">
        <v>65</v>
      </c>
      <c r="B48" s="4">
        <v>45301.478472222225</v>
      </c>
      <c r="C48" s="4">
        <v>45301.51666666667</v>
      </c>
      <c r="D48" s="4">
        <v>45301.888888888891</v>
      </c>
      <c r="E48" s="1" t="s">
        <v>119</v>
      </c>
      <c r="F48" s="1" t="s">
        <v>17</v>
      </c>
      <c r="G48" s="1" t="s">
        <v>14</v>
      </c>
      <c r="H48" s="1" t="s">
        <v>15</v>
      </c>
      <c r="I48" s="8">
        <v>55.000000001164153</v>
      </c>
      <c r="J48" s="6">
        <f t="shared" si="0"/>
        <v>9.8499999999767169</v>
      </c>
    </row>
    <row r="49" spans="1:10" x14ac:dyDescent="0.25">
      <c r="A49" s="1" t="s">
        <v>66</v>
      </c>
      <c r="B49" s="4">
        <v>45318.561805555553</v>
      </c>
      <c r="C49" s="4">
        <v>45318.612499999996</v>
      </c>
      <c r="D49" s="4">
        <v>45319.047916666663</v>
      </c>
      <c r="E49" s="1" t="s">
        <v>119</v>
      </c>
      <c r="F49" s="1" t="s">
        <v>17</v>
      </c>
      <c r="G49" s="1" t="s">
        <v>31</v>
      </c>
      <c r="H49" s="1" t="s">
        <v>20</v>
      </c>
      <c r="I49" s="8">
        <v>72.999999996973202</v>
      </c>
      <c r="J49" s="6">
        <f t="shared" si="0"/>
        <v>11.666666666627862</v>
      </c>
    </row>
    <row r="50" spans="1:10" x14ac:dyDescent="0.25">
      <c r="A50" s="1" t="s">
        <v>67</v>
      </c>
      <c r="B50" s="4">
        <v>45304.849305555559</v>
      </c>
      <c r="C50" s="4">
        <v>45304.855555555558</v>
      </c>
      <c r="D50" s="4">
        <v>45304.993750000001</v>
      </c>
      <c r="E50" s="1" t="s">
        <v>119</v>
      </c>
      <c r="F50" s="1" t="s">
        <v>22</v>
      </c>
      <c r="G50" s="1" t="s">
        <v>18</v>
      </c>
      <c r="H50" s="1" t="s">
        <v>15</v>
      </c>
      <c r="I50" s="8">
        <v>8.9999999979045242</v>
      </c>
      <c r="J50" s="6">
        <f t="shared" si="0"/>
        <v>3.46666666661622</v>
      </c>
    </row>
    <row r="51" spans="1:10" x14ac:dyDescent="0.25">
      <c r="A51" s="1" t="s">
        <v>68</v>
      </c>
      <c r="B51" s="4">
        <v>45318.76666666667</v>
      </c>
      <c r="C51" s="4">
        <v>45318.834027777782</v>
      </c>
      <c r="D51" s="4">
        <v>45319.172222222223</v>
      </c>
      <c r="E51" s="1" t="s">
        <v>119</v>
      </c>
      <c r="F51" s="1" t="s">
        <v>17</v>
      </c>
      <c r="G51" s="1" t="s">
        <v>31</v>
      </c>
      <c r="H51" s="1" t="s">
        <v>20</v>
      </c>
      <c r="I51" s="8">
        <v>97.000000001862645</v>
      </c>
      <c r="J51" s="6">
        <f t="shared" si="0"/>
        <v>9.7333333332790062</v>
      </c>
    </row>
    <row r="52" spans="1:10" x14ac:dyDescent="0.25">
      <c r="A52" s="1" t="s">
        <v>69</v>
      </c>
      <c r="B52" s="4">
        <v>45302.7</v>
      </c>
      <c r="C52" s="4">
        <v>45302.708333333328</v>
      </c>
      <c r="D52" s="4" t="s">
        <v>120</v>
      </c>
      <c r="E52" s="1" t="s">
        <v>121</v>
      </c>
      <c r="F52" s="1" t="s">
        <v>22</v>
      </c>
      <c r="G52" s="1" t="s">
        <v>31</v>
      </c>
      <c r="H52" s="1" t="s">
        <v>20</v>
      </c>
      <c r="I52" s="8">
        <v>11.999999997206032</v>
      </c>
      <c r="J52" s="6" t="str">
        <f t="shared" si="0"/>
        <v/>
      </c>
    </row>
    <row r="53" spans="1:10" x14ac:dyDescent="0.25">
      <c r="A53" s="1" t="s">
        <v>70</v>
      </c>
      <c r="B53" s="4">
        <v>45309.606249999997</v>
      </c>
      <c r="C53" s="4">
        <v>45309.672916666663</v>
      </c>
      <c r="D53" s="4" t="s">
        <v>120</v>
      </c>
      <c r="E53" s="1" t="s">
        <v>121</v>
      </c>
      <c r="F53" s="1" t="s">
        <v>17</v>
      </c>
      <c r="G53" s="1" t="s">
        <v>18</v>
      </c>
      <c r="H53" s="1" t="s">
        <v>27</v>
      </c>
      <c r="I53" s="8">
        <v>95.999999998603016</v>
      </c>
      <c r="J53" s="6" t="str">
        <f t="shared" si="0"/>
        <v/>
      </c>
    </row>
    <row r="54" spans="1:10" x14ac:dyDescent="0.25">
      <c r="A54" s="1" t="s">
        <v>71</v>
      </c>
      <c r="B54" s="4">
        <v>45312.479861111111</v>
      </c>
      <c r="C54" s="4">
        <v>45312.53125</v>
      </c>
      <c r="D54" s="4">
        <v>45312.988194444442</v>
      </c>
      <c r="E54" s="1" t="s">
        <v>119</v>
      </c>
      <c r="F54" s="1" t="s">
        <v>17</v>
      </c>
      <c r="G54" s="1" t="s">
        <v>18</v>
      </c>
      <c r="H54" s="1" t="s">
        <v>15</v>
      </c>
      <c r="I54" s="8">
        <v>74.000000000232831</v>
      </c>
      <c r="J54" s="6">
        <f t="shared" si="0"/>
        <v>12.199999999953434</v>
      </c>
    </row>
    <row r="55" spans="1:10" x14ac:dyDescent="0.25">
      <c r="A55" s="1" t="s">
        <v>72</v>
      </c>
      <c r="B55" s="4">
        <v>45317.413888888892</v>
      </c>
      <c r="C55" s="4">
        <v>45317.442361111112</v>
      </c>
      <c r="D55" s="4" t="s">
        <v>120</v>
      </c>
      <c r="E55" s="1" t="s">
        <v>121</v>
      </c>
      <c r="F55" s="1" t="s">
        <v>9</v>
      </c>
      <c r="G55" s="1" t="s">
        <v>31</v>
      </c>
      <c r="H55" s="1" t="s">
        <v>20</v>
      </c>
      <c r="I55" s="8">
        <v>40.999999997438863</v>
      </c>
      <c r="J55" s="6" t="str">
        <f t="shared" si="0"/>
        <v/>
      </c>
    </row>
    <row r="56" spans="1:10" x14ac:dyDescent="0.25">
      <c r="A56" s="1" t="s">
        <v>73</v>
      </c>
      <c r="B56" s="4">
        <v>45307.686805555553</v>
      </c>
      <c r="C56" s="4">
        <v>45307.690972222219</v>
      </c>
      <c r="D56" s="4">
        <v>45307.87222222222</v>
      </c>
      <c r="E56" s="1" t="s">
        <v>119</v>
      </c>
      <c r="F56" s="1" t="s">
        <v>22</v>
      </c>
      <c r="G56" s="1" t="s">
        <v>14</v>
      </c>
      <c r="H56" s="1" t="s">
        <v>20</v>
      </c>
      <c r="I56" s="8">
        <v>5.9999999986030161</v>
      </c>
      <c r="J56" s="6">
        <f t="shared" si="0"/>
        <v>4.4500000000116415</v>
      </c>
    </row>
    <row r="57" spans="1:10" x14ac:dyDescent="0.25">
      <c r="A57" s="1" t="s">
        <v>74</v>
      </c>
      <c r="B57" s="4">
        <v>45317.423611111109</v>
      </c>
      <c r="C57" s="4">
        <v>45317.478472222218</v>
      </c>
      <c r="D57" s="4" t="s">
        <v>120</v>
      </c>
      <c r="E57" s="1" t="s">
        <v>121</v>
      </c>
      <c r="F57" s="1" t="s">
        <v>17</v>
      </c>
      <c r="G57" s="1" t="s">
        <v>10</v>
      </c>
      <c r="H57" s="1" t="s">
        <v>11</v>
      </c>
      <c r="I57" s="8">
        <v>78.999999995576218</v>
      </c>
      <c r="J57" s="6" t="str">
        <f t="shared" si="0"/>
        <v/>
      </c>
    </row>
    <row r="58" spans="1:10" x14ac:dyDescent="0.25">
      <c r="A58" s="1" t="s">
        <v>75</v>
      </c>
      <c r="B58" s="4">
        <v>45310.647916666669</v>
      </c>
      <c r="C58" s="4">
        <v>45310.665972222225</v>
      </c>
      <c r="D58" s="4" t="s">
        <v>120</v>
      </c>
      <c r="E58" s="1" t="s">
        <v>121</v>
      </c>
      <c r="F58" s="1" t="s">
        <v>9</v>
      </c>
      <c r="G58" s="1" t="s">
        <v>10</v>
      </c>
      <c r="H58" s="1" t="s">
        <v>15</v>
      </c>
      <c r="I58" s="8">
        <v>26.000000000931323</v>
      </c>
      <c r="J58" s="6" t="str">
        <f t="shared" si="0"/>
        <v/>
      </c>
    </row>
    <row r="59" spans="1:10" x14ac:dyDescent="0.25">
      <c r="A59" s="1" t="s">
        <v>76</v>
      </c>
      <c r="B59" s="4">
        <v>45318.587500000001</v>
      </c>
      <c r="C59" s="4">
        <v>45318.629166666666</v>
      </c>
      <c r="D59" s="4">
        <v>45318.907638888886</v>
      </c>
      <c r="E59" s="1" t="s">
        <v>119</v>
      </c>
      <c r="F59" s="1" t="s">
        <v>9</v>
      </c>
      <c r="G59" s="1" t="s">
        <v>18</v>
      </c>
      <c r="H59" s="1" t="s">
        <v>11</v>
      </c>
      <c r="I59" s="8">
        <v>59.99999999650754</v>
      </c>
      <c r="J59" s="6">
        <f t="shared" si="0"/>
        <v>7.6833333332324401</v>
      </c>
    </row>
    <row r="60" spans="1:10" x14ac:dyDescent="0.25">
      <c r="A60" s="1" t="s">
        <v>77</v>
      </c>
      <c r="B60" s="4">
        <v>45296.819444444445</v>
      </c>
      <c r="C60" s="4">
        <v>45296.858333333337</v>
      </c>
      <c r="D60" s="4">
        <v>45297.318750000006</v>
      </c>
      <c r="E60" s="1" t="s">
        <v>119</v>
      </c>
      <c r="F60" s="1" t="s">
        <v>17</v>
      </c>
      <c r="G60" s="1" t="s">
        <v>10</v>
      </c>
      <c r="H60" s="1" t="s">
        <v>15</v>
      </c>
      <c r="I60" s="8">
        <v>56.000000004423782</v>
      </c>
      <c r="J60" s="6">
        <f t="shared" si="0"/>
        <v>11.983333333453629</v>
      </c>
    </row>
    <row r="61" spans="1:10" x14ac:dyDescent="0.25">
      <c r="A61" s="1" t="s">
        <v>78</v>
      </c>
      <c r="B61" s="4">
        <v>45309.826388888891</v>
      </c>
      <c r="C61" s="4">
        <v>45309.850694444445</v>
      </c>
      <c r="D61" s="4">
        <v>45310.390972222223</v>
      </c>
      <c r="E61" s="1" t="s">
        <v>119</v>
      </c>
      <c r="F61" s="1" t="s">
        <v>17</v>
      </c>
      <c r="G61" s="1" t="s">
        <v>31</v>
      </c>
      <c r="H61" s="1" t="s">
        <v>15</v>
      </c>
      <c r="I61" s="8">
        <v>34.999999998835847</v>
      </c>
      <c r="J61" s="6">
        <f t="shared" si="0"/>
        <v>13.549999999988358</v>
      </c>
    </row>
    <row r="62" spans="1:10" x14ac:dyDescent="0.25">
      <c r="A62" s="1" t="s">
        <v>79</v>
      </c>
      <c r="B62" s="4">
        <v>45309.556250000001</v>
      </c>
      <c r="C62" s="4">
        <v>45309.569444444445</v>
      </c>
      <c r="D62" s="4">
        <v>45309.655555555553</v>
      </c>
      <c r="E62" s="1" t="s">
        <v>119</v>
      </c>
      <c r="F62" s="1" t="s">
        <v>22</v>
      </c>
      <c r="G62" s="1" t="s">
        <v>10</v>
      </c>
      <c r="H62" s="1" t="s">
        <v>27</v>
      </c>
      <c r="I62" s="8">
        <v>18.999999999068677</v>
      </c>
      <c r="J62" s="6">
        <f t="shared" si="0"/>
        <v>2.3833333332440816</v>
      </c>
    </row>
    <row r="63" spans="1:10" x14ac:dyDescent="0.25">
      <c r="A63" s="1" t="s">
        <v>80</v>
      </c>
      <c r="B63" s="4">
        <v>45305.67083333333</v>
      </c>
      <c r="C63" s="4">
        <v>45305.693055555552</v>
      </c>
      <c r="D63" s="4">
        <v>45305.914583333331</v>
      </c>
      <c r="E63" s="1" t="s">
        <v>119</v>
      </c>
      <c r="F63" s="1" t="s">
        <v>17</v>
      </c>
      <c r="G63" s="1" t="s">
        <v>10</v>
      </c>
      <c r="H63" s="1" t="s">
        <v>15</v>
      </c>
      <c r="I63" s="8">
        <v>31.999999999534339</v>
      </c>
      <c r="J63" s="6">
        <f t="shared" si="0"/>
        <v>5.8500000000349246</v>
      </c>
    </row>
    <row r="64" spans="1:10" x14ac:dyDescent="0.25">
      <c r="A64" s="1" t="s">
        <v>81</v>
      </c>
      <c r="B64" s="4">
        <v>45309.566666666666</v>
      </c>
      <c r="C64" s="4">
        <v>45309.609027777777</v>
      </c>
      <c r="D64" s="4" t="s">
        <v>120</v>
      </c>
      <c r="E64" s="1" t="s">
        <v>121</v>
      </c>
      <c r="F64" s="1" t="s">
        <v>17</v>
      </c>
      <c r="G64" s="1" t="s">
        <v>31</v>
      </c>
      <c r="H64" s="1" t="s">
        <v>15</v>
      </c>
      <c r="I64" s="8">
        <v>60.999999999767169</v>
      </c>
      <c r="J64" s="6" t="str">
        <f t="shared" si="0"/>
        <v/>
      </c>
    </row>
    <row r="65" spans="1:10" x14ac:dyDescent="0.25">
      <c r="A65" s="1" t="s">
        <v>82</v>
      </c>
      <c r="B65" s="4">
        <v>45310.655555555553</v>
      </c>
      <c r="C65" s="4">
        <v>45310.723611111112</v>
      </c>
      <c r="D65" s="4">
        <v>45311.09652777778</v>
      </c>
      <c r="E65" s="1" t="s">
        <v>119</v>
      </c>
      <c r="F65" s="1" t="s">
        <v>17</v>
      </c>
      <c r="G65" s="1" t="s">
        <v>31</v>
      </c>
      <c r="H65" s="1" t="s">
        <v>11</v>
      </c>
      <c r="I65" s="8">
        <v>98.000000005122274</v>
      </c>
      <c r="J65" s="6">
        <f t="shared" si="0"/>
        <v>10.583333333430346</v>
      </c>
    </row>
    <row r="66" spans="1:10" x14ac:dyDescent="0.25">
      <c r="A66" s="1" t="s">
        <v>83</v>
      </c>
      <c r="B66" s="4">
        <v>45293.537499999999</v>
      </c>
      <c r="C66" s="4">
        <v>45293.613194444442</v>
      </c>
      <c r="D66" s="4">
        <v>45293.910416666666</v>
      </c>
      <c r="E66" s="1" t="s">
        <v>119</v>
      </c>
      <c r="F66" s="1" t="s">
        <v>17</v>
      </c>
      <c r="G66" s="1" t="s">
        <v>31</v>
      </c>
      <c r="H66" s="1" t="s">
        <v>11</v>
      </c>
      <c r="I66" s="8">
        <v>108.99999999906868</v>
      </c>
      <c r="J66" s="6">
        <f t="shared" si="0"/>
        <v>8.9500000000116415</v>
      </c>
    </row>
    <row r="67" spans="1:10" x14ac:dyDescent="0.25">
      <c r="A67" s="1" t="s">
        <v>84</v>
      </c>
      <c r="B67" s="4">
        <v>45309.378472222219</v>
      </c>
      <c r="C67" s="4">
        <v>45309.397916666661</v>
      </c>
      <c r="D67" s="4" t="s">
        <v>120</v>
      </c>
      <c r="E67" s="1" t="s">
        <v>121</v>
      </c>
      <c r="F67" s="1" t="s">
        <v>22</v>
      </c>
      <c r="G67" s="1" t="s">
        <v>18</v>
      </c>
      <c r="H67" s="1" t="s">
        <v>15</v>
      </c>
      <c r="I67" s="8">
        <v>27.999999996973202</v>
      </c>
      <c r="J67" s="6" t="str">
        <f t="shared" ref="J67:J101" si="1">IF(D67="","",(D67-B67)*24)</f>
        <v/>
      </c>
    </row>
    <row r="68" spans="1:10" x14ac:dyDescent="0.25">
      <c r="A68" s="1" t="s">
        <v>85</v>
      </c>
      <c r="B68" s="4">
        <v>45305.355555555558</v>
      </c>
      <c r="C68" s="4">
        <v>45305.595833333333</v>
      </c>
      <c r="D68" s="4">
        <v>45305.650694444448</v>
      </c>
      <c r="E68" s="1" t="s">
        <v>119</v>
      </c>
      <c r="F68" s="1" t="s">
        <v>17</v>
      </c>
      <c r="G68" s="1" t="s">
        <v>14</v>
      </c>
      <c r="H68" s="1" t="s">
        <v>20</v>
      </c>
      <c r="I68" s="8">
        <v>345.99999999627471</v>
      </c>
      <c r="J68" s="6">
        <f t="shared" si="1"/>
        <v>7.0833333333721384</v>
      </c>
    </row>
    <row r="69" spans="1:10" x14ac:dyDescent="0.25">
      <c r="A69" s="1" t="s">
        <v>86</v>
      </c>
      <c r="B69" s="4">
        <v>45317.84652777778</v>
      </c>
      <c r="C69" s="4">
        <v>45317.888888888891</v>
      </c>
      <c r="D69" s="4">
        <v>45318.200000000004</v>
      </c>
      <c r="E69" s="1" t="s">
        <v>119</v>
      </c>
      <c r="F69" s="1" t="s">
        <v>17</v>
      </c>
      <c r="G69" s="1" t="s">
        <v>31</v>
      </c>
      <c r="H69" s="1" t="s">
        <v>15</v>
      </c>
      <c r="I69" s="8">
        <v>60.999999999767169</v>
      </c>
      <c r="J69" s="6">
        <f t="shared" si="1"/>
        <v>8.4833333333954215</v>
      </c>
    </row>
    <row r="70" spans="1:10" x14ac:dyDescent="0.25">
      <c r="A70" s="1" t="s">
        <v>87</v>
      </c>
      <c r="B70" s="4">
        <v>45312.459027777775</v>
      </c>
      <c r="C70" s="4">
        <v>45312.521527777775</v>
      </c>
      <c r="D70" s="4" t="s">
        <v>120</v>
      </c>
      <c r="E70" s="1" t="s">
        <v>121</v>
      </c>
      <c r="F70" s="1" t="s">
        <v>17</v>
      </c>
      <c r="G70" s="1" t="s">
        <v>10</v>
      </c>
      <c r="H70" s="1" t="s">
        <v>11</v>
      </c>
      <c r="I70" s="8">
        <v>90</v>
      </c>
      <c r="J70" s="6" t="str">
        <f t="shared" si="1"/>
        <v/>
      </c>
    </row>
    <row r="71" spans="1:10" x14ac:dyDescent="0.25">
      <c r="A71" s="1" t="s">
        <v>88</v>
      </c>
      <c r="B71" s="4">
        <v>45294.831250000003</v>
      </c>
      <c r="C71" s="4">
        <v>45294.851388888892</v>
      </c>
      <c r="D71" s="4" t="s">
        <v>120</v>
      </c>
      <c r="E71" s="1" t="s">
        <v>121</v>
      </c>
      <c r="F71" s="1" t="s">
        <v>22</v>
      </c>
      <c r="G71" s="1" t="s">
        <v>10</v>
      </c>
      <c r="H71" s="1" t="s">
        <v>27</v>
      </c>
      <c r="I71" s="8">
        <v>29.000000000232831</v>
      </c>
      <c r="J71" s="6" t="str">
        <f t="shared" si="1"/>
        <v/>
      </c>
    </row>
    <row r="72" spans="1:10" x14ac:dyDescent="0.25">
      <c r="A72" s="1" t="s">
        <v>89</v>
      </c>
      <c r="B72" s="4">
        <v>45294.730555555558</v>
      </c>
      <c r="C72" s="4">
        <v>45294.771527777782</v>
      </c>
      <c r="D72" s="4" t="s">
        <v>120</v>
      </c>
      <c r="E72" s="1" t="s">
        <v>121</v>
      </c>
      <c r="F72" s="1" t="s">
        <v>17</v>
      </c>
      <c r="G72" s="1" t="s">
        <v>18</v>
      </c>
      <c r="H72" s="1" t="s">
        <v>20</v>
      </c>
      <c r="I72" s="8">
        <v>59.00000000372529</v>
      </c>
      <c r="J72" s="6" t="str">
        <f t="shared" si="1"/>
        <v/>
      </c>
    </row>
    <row r="73" spans="1:10" x14ac:dyDescent="0.25">
      <c r="A73" s="1" t="s">
        <v>90</v>
      </c>
      <c r="B73" s="4">
        <v>45313.741666666669</v>
      </c>
      <c r="C73" s="4">
        <v>45313.751388888893</v>
      </c>
      <c r="D73" s="4">
        <v>45313.898611111115</v>
      </c>
      <c r="E73" s="1" t="s">
        <v>119</v>
      </c>
      <c r="F73" s="1" t="s">
        <v>22</v>
      </c>
      <c r="G73" s="1" t="s">
        <v>14</v>
      </c>
      <c r="H73" s="1" t="s">
        <v>27</v>
      </c>
      <c r="I73" s="8">
        <v>14.00000000372529</v>
      </c>
      <c r="J73" s="6">
        <f t="shared" si="1"/>
        <v>3.7666666667209938</v>
      </c>
    </row>
    <row r="74" spans="1:10" x14ac:dyDescent="0.25">
      <c r="A74" s="1" t="s">
        <v>91</v>
      </c>
      <c r="B74" s="4">
        <v>45316.87222222222</v>
      </c>
      <c r="C74" s="4">
        <v>45316.885416666664</v>
      </c>
      <c r="D74" s="4">
        <v>45317.071527777778</v>
      </c>
      <c r="E74" s="1" t="s">
        <v>119</v>
      </c>
      <c r="F74" s="1" t="s">
        <v>22</v>
      </c>
      <c r="G74" s="1" t="s">
        <v>14</v>
      </c>
      <c r="H74" s="1" t="s">
        <v>20</v>
      </c>
      <c r="I74" s="8">
        <v>18.999999999068677</v>
      </c>
      <c r="J74" s="6">
        <f t="shared" si="1"/>
        <v>4.78333333338378</v>
      </c>
    </row>
    <row r="75" spans="1:10" x14ac:dyDescent="0.25">
      <c r="A75" s="1" t="s">
        <v>92</v>
      </c>
      <c r="B75" s="4">
        <v>45299.85</v>
      </c>
      <c r="C75" s="4">
        <v>45299.981944444444</v>
      </c>
      <c r="D75" s="4">
        <v>45300.04583333333</v>
      </c>
      <c r="E75" s="1" t="s">
        <v>119</v>
      </c>
      <c r="F75" s="1" t="s">
        <v>22</v>
      </c>
      <c r="G75" s="1" t="s">
        <v>31</v>
      </c>
      <c r="H75" s="1" t="s">
        <v>27</v>
      </c>
      <c r="I75" s="8">
        <v>190.00000000116415</v>
      </c>
      <c r="J75" s="6">
        <f t="shared" si="1"/>
        <v>4.6999999999534339</v>
      </c>
    </row>
    <row r="76" spans="1:10" x14ac:dyDescent="0.25">
      <c r="A76" s="1" t="s">
        <v>93</v>
      </c>
      <c r="B76" s="4">
        <v>45299.349305555559</v>
      </c>
      <c r="C76" s="4">
        <v>45299.383333333339</v>
      </c>
      <c r="D76" s="4">
        <v>45299.481250000004</v>
      </c>
      <c r="E76" s="1" t="s">
        <v>119</v>
      </c>
      <c r="F76" s="1" t="s">
        <v>9</v>
      </c>
      <c r="G76" s="1" t="s">
        <v>18</v>
      </c>
      <c r="H76" s="1" t="s">
        <v>11</v>
      </c>
      <c r="I76" s="8">
        <v>49.000000002561137</v>
      </c>
      <c r="J76" s="6">
        <f t="shared" si="1"/>
        <v>3.1666666666860692</v>
      </c>
    </row>
    <row r="77" spans="1:10" x14ac:dyDescent="0.25">
      <c r="A77" s="1" t="s">
        <v>94</v>
      </c>
      <c r="B77" s="4">
        <v>45302.666666666664</v>
      </c>
      <c r="C77" s="4">
        <v>45302.679166666661</v>
      </c>
      <c r="D77" s="4">
        <v>45302.894444444442</v>
      </c>
      <c r="E77" s="1" t="s">
        <v>119</v>
      </c>
      <c r="F77" s="1" t="s">
        <v>9</v>
      </c>
      <c r="G77" s="1" t="s">
        <v>14</v>
      </c>
      <c r="H77" s="1" t="s">
        <v>11</v>
      </c>
      <c r="I77" s="8">
        <v>17.999999995809048</v>
      </c>
      <c r="J77" s="6">
        <f t="shared" si="1"/>
        <v>5.4666666666744277</v>
      </c>
    </row>
    <row r="78" spans="1:10" x14ac:dyDescent="0.25">
      <c r="A78" s="1" t="s">
        <v>95</v>
      </c>
      <c r="B78" s="4">
        <v>45316.384027777778</v>
      </c>
      <c r="C78" s="4">
        <v>45316.438194444447</v>
      </c>
      <c r="D78" s="4">
        <v>45316.700694444444</v>
      </c>
      <c r="E78" s="1" t="s">
        <v>119</v>
      </c>
      <c r="F78" s="1" t="s">
        <v>17</v>
      </c>
      <c r="G78" s="1" t="s">
        <v>31</v>
      </c>
      <c r="H78" s="1" t="s">
        <v>20</v>
      </c>
      <c r="I78" s="8">
        <v>78.000000002793968</v>
      </c>
      <c r="J78" s="6">
        <f t="shared" si="1"/>
        <v>7.5999999999767169</v>
      </c>
    </row>
    <row r="79" spans="1:10" x14ac:dyDescent="0.25">
      <c r="A79" s="1" t="s">
        <v>96</v>
      </c>
      <c r="B79" s="4">
        <v>45299.621527777781</v>
      </c>
      <c r="C79" s="4">
        <v>45299.631944444445</v>
      </c>
      <c r="D79" s="4">
        <v>45299.796527777777</v>
      </c>
      <c r="E79" s="1" t="s">
        <v>119</v>
      </c>
      <c r="F79" s="1" t="s">
        <v>22</v>
      </c>
      <c r="G79" s="1" t="s">
        <v>14</v>
      </c>
      <c r="H79" s="1" t="s">
        <v>15</v>
      </c>
      <c r="I79" s="8">
        <v>14.99999999650754</v>
      </c>
      <c r="J79" s="6">
        <f t="shared" si="1"/>
        <v>4.1999999998952262</v>
      </c>
    </row>
    <row r="80" spans="1:10" x14ac:dyDescent="0.25">
      <c r="A80" s="1" t="s">
        <v>97</v>
      </c>
      <c r="B80" s="4">
        <v>45320.463888888888</v>
      </c>
      <c r="C80" s="4">
        <v>45320.477083333331</v>
      </c>
      <c r="D80" s="4" t="s">
        <v>120</v>
      </c>
      <c r="E80" s="1" t="s">
        <v>121</v>
      </c>
      <c r="F80" s="1" t="s">
        <v>9</v>
      </c>
      <c r="G80" s="1" t="s">
        <v>18</v>
      </c>
      <c r="H80" s="1" t="s">
        <v>20</v>
      </c>
      <c r="I80" s="8">
        <v>18.999999999068677</v>
      </c>
      <c r="J80" s="6" t="str">
        <f t="shared" si="1"/>
        <v/>
      </c>
    </row>
    <row r="81" spans="1:10" x14ac:dyDescent="0.25">
      <c r="A81" s="1" t="s">
        <v>98</v>
      </c>
      <c r="B81" s="4">
        <v>45306.856249999997</v>
      </c>
      <c r="C81" s="4">
        <v>45306.895833333328</v>
      </c>
      <c r="D81" s="4" t="s">
        <v>120</v>
      </c>
      <c r="E81" s="1" t="s">
        <v>121</v>
      </c>
      <c r="F81" s="1" t="s">
        <v>9</v>
      </c>
      <c r="G81" s="1" t="s">
        <v>14</v>
      </c>
      <c r="H81" s="1" t="s">
        <v>15</v>
      </c>
      <c r="I81" s="8">
        <v>56.999999997206032</v>
      </c>
      <c r="J81" s="6" t="str">
        <f t="shared" si="1"/>
        <v/>
      </c>
    </row>
    <row r="82" spans="1:10" x14ac:dyDescent="0.25">
      <c r="A82" s="1" t="s">
        <v>99</v>
      </c>
      <c r="B82" s="4">
        <v>45296.615972222222</v>
      </c>
      <c r="C82" s="4">
        <v>45296.667361111111</v>
      </c>
      <c r="D82" s="4">
        <v>45296.834027777775</v>
      </c>
      <c r="E82" s="1" t="s">
        <v>119</v>
      </c>
      <c r="F82" s="1" t="s">
        <v>17</v>
      </c>
      <c r="G82" s="1" t="s">
        <v>18</v>
      </c>
      <c r="H82" s="1" t="s">
        <v>20</v>
      </c>
      <c r="I82" s="8">
        <v>74.000000000232831</v>
      </c>
      <c r="J82" s="6">
        <f t="shared" si="1"/>
        <v>5.2333333332790062</v>
      </c>
    </row>
    <row r="83" spans="1:10" x14ac:dyDescent="0.25">
      <c r="A83" s="1" t="s">
        <v>100</v>
      </c>
      <c r="B83" s="4">
        <v>45297.402083333334</v>
      </c>
      <c r="C83" s="4">
        <v>45297.414583333331</v>
      </c>
      <c r="D83" s="4">
        <v>45297.65</v>
      </c>
      <c r="E83" s="1" t="s">
        <v>119</v>
      </c>
      <c r="F83" s="1" t="s">
        <v>9</v>
      </c>
      <c r="G83" s="1" t="s">
        <v>18</v>
      </c>
      <c r="H83" s="1" t="s">
        <v>15</v>
      </c>
      <c r="I83" s="8">
        <v>17.999999995809048</v>
      </c>
      <c r="J83" s="6">
        <f t="shared" si="1"/>
        <v>5.9500000000116415</v>
      </c>
    </row>
    <row r="84" spans="1:10" x14ac:dyDescent="0.25">
      <c r="A84" s="1" t="s">
        <v>101</v>
      </c>
      <c r="B84" s="4">
        <v>45292.823611111111</v>
      </c>
      <c r="C84" s="4">
        <v>45292.828472222223</v>
      </c>
      <c r="D84" s="4">
        <v>45292.964583333334</v>
      </c>
      <c r="E84" s="1" t="s">
        <v>119</v>
      </c>
      <c r="F84" s="1" t="s">
        <v>22</v>
      </c>
      <c r="G84" s="1" t="s">
        <v>31</v>
      </c>
      <c r="H84" s="1" t="s">
        <v>27</v>
      </c>
      <c r="I84" s="8">
        <v>7.0000000018626451</v>
      </c>
      <c r="J84" s="6">
        <f t="shared" si="1"/>
        <v>3.3833333333604969</v>
      </c>
    </row>
    <row r="85" spans="1:10" x14ac:dyDescent="0.25">
      <c r="A85" s="1" t="s">
        <v>102</v>
      </c>
      <c r="B85" s="4">
        <v>45320.815972222219</v>
      </c>
      <c r="C85" s="4">
        <v>45320.871527777774</v>
      </c>
      <c r="D85" s="4" t="s">
        <v>120</v>
      </c>
      <c r="E85" s="1" t="s">
        <v>121</v>
      </c>
      <c r="F85" s="1" t="s">
        <v>17</v>
      </c>
      <c r="G85" s="1" t="s">
        <v>14</v>
      </c>
      <c r="H85" s="1" t="s">
        <v>27</v>
      </c>
      <c r="I85" s="8">
        <v>79.999999998835847</v>
      </c>
      <c r="J85" s="6" t="str">
        <f t="shared" si="1"/>
        <v/>
      </c>
    </row>
    <row r="86" spans="1:10" x14ac:dyDescent="0.25">
      <c r="A86" s="1" t="s">
        <v>103</v>
      </c>
      <c r="B86" s="4">
        <v>45319.615972222222</v>
      </c>
      <c r="C86" s="4">
        <v>45319.622916666667</v>
      </c>
      <c r="D86" s="4">
        <v>45319.76666666667</v>
      </c>
      <c r="E86" s="1" t="s">
        <v>119</v>
      </c>
      <c r="F86" s="1" t="s">
        <v>22</v>
      </c>
      <c r="G86" s="1" t="s">
        <v>18</v>
      </c>
      <c r="H86" s="1" t="s">
        <v>27</v>
      </c>
      <c r="I86" s="8">
        <v>10.000000001164153</v>
      </c>
      <c r="J86" s="6">
        <f t="shared" si="1"/>
        <v>3.6166666667559184</v>
      </c>
    </row>
    <row r="87" spans="1:10" x14ac:dyDescent="0.25">
      <c r="A87" s="1" t="s">
        <v>104</v>
      </c>
      <c r="B87" s="4">
        <v>45299.558333333334</v>
      </c>
      <c r="C87" s="4">
        <v>45299.598611111112</v>
      </c>
      <c r="D87" s="4">
        <v>45299.697916666672</v>
      </c>
      <c r="E87" s="1" t="s">
        <v>119</v>
      </c>
      <c r="F87" s="1" t="s">
        <v>9</v>
      </c>
      <c r="G87" s="1" t="s">
        <v>31</v>
      </c>
      <c r="H87" s="1" t="s">
        <v>15</v>
      </c>
      <c r="I87" s="8">
        <v>58.000000000465661</v>
      </c>
      <c r="J87" s="6">
        <f t="shared" si="1"/>
        <v>3.3500000000931323</v>
      </c>
    </row>
    <row r="88" spans="1:10" x14ac:dyDescent="0.25">
      <c r="A88" s="1" t="s">
        <v>105</v>
      </c>
      <c r="B88" s="4">
        <v>45296.460416666669</v>
      </c>
      <c r="C88" s="4">
        <v>45296.473611111112</v>
      </c>
      <c r="D88" s="4">
        <v>45296.651388888888</v>
      </c>
      <c r="E88" s="1" t="s">
        <v>119</v>
      </c>
      <c r="F88" s="1" t="s">
        <v>22</v>
      </c>
      <c r="G88" s="1" t="s">
        <v>10</v>
      </c>
      <c r="H88" s="1" t="s">
        <v>15</v>
      </c>
      <c r="I88" s="8">
        <v>18.999999999068677</v>
      </c>
      <c r="J88" s="6">
        <f t="shared" si="1"/>
        <v>4.5833333332557231</v>
      </c>
    </row>
    <row r="89" spans="1:10" x14ac:dyDescent="0.25">
      <c r="A89" s="1" t="s">
        <v>106</v>
      </c>
      <c r="B89" s="4">
        <v>45295.555555555555</v>
      </c>
      <c r="C89" s="4">
        <v>45295.595138888886</v>
      </c>
      <c r="D89" s="4">
        <v>45295.957638888889</v>
      </c>
      <c r="E89" s="1" t="s">
        <v>119</v>
      </c>
      <c r="F89" s="1" t="s">
        <v>9</v>
      </c>
      <c r="G89" s="1" t="s">
        <v>31</v>
      </c>
      <c r="H89" s="1" t="s">
        <v>11</v>
      </c>
      <c r="I89" s="8">
        <v>56.999999997206032</v>
      </c>
      <c r="J89" s="6">
        <f t="shared" si="1"/>
        <v>9.6500000000232831</v>
      </c>
    </row>
    <row r="90" spans="1:10" x14ac:dyDescent="0.25">
      <c r="A90" s="1" t="s">
        <v>107</v>
      </c>
      <c r="B90" s="4">
        <v>45318.477083333331</v>
      </c>
      <c r="C90" s="4">
        <v>45318.48055555555</v>
      </c>
      <c r="D90" s="4">
        <v>45318.644444444442</v>
      </c>
      <c r="E90" s="1" t="s">
        <v>119</v>
      </c>
      <c r="F90" s="1" t="s">
        <v>22</v>
      </c>
      <c r="G90" s="1" t="s">
        <v>18</v>
      </c>
      <c r="H90" s="1" t="s">
        <v>20</v>
      </c>
      <c r="I90" s="8">
        <v>4.9999999953433871</v>
      </c>
      <c r="J90" s="6">
        <f t="shared" si="1"/>
        <v>4.0166666666627862</v>
      </c>
    </row>
    <row r="91" spans="1:10" x14ac:dyDescent="0.25">
      <c r="A91" s="1" t="s">
        <v>108</v>
      </c>
      <c r="B91" s="4">
        <v>45298.854861111111</v>
      </c>
      <c r="C91" s="4">
        <v>45298.893055555556</v>
      </c>
      <c r="D91" s="4">
        <v>45298.99722222222</v>
      </c>
      <c r="E91" s="1" t="s">
        <v>119</v>
      </c>
      <c r="F91" s="1" t="s">
        <v>9</v>
      </c>
      <c r="G91" s="1" t="s">
        <v>10</v>
      </c>
      <c r="H91" s="1" t="s">
        <v>11</v>
      </c>
      <c r="I91" s="8">
        <v>55.000000001164153</v>
      </c>
      <c r="J91" s="6">
        <f t="shared" si="1"/>
        <v>3.4166666666278616</v>
      </c>
    </row>
    <row r="92" spans="1:10" x14ac:dyDescent="0.25">
      <c r="A92" s="1" t="s">
        <v>109</v>
      </c>
      <c r="B92" s="4">
        <v>45307.52847222222</v>
      </c>
      <c r="C92" s="4">
        <v>45307.834027777775</v>
      </c>
      <c r="D92" s="4">
        <v>45307.911805555559</v>
      </c>
      <c r="E92" s="1" t="s">
        <v>119</v>
      </c>
      <c r="F92" s="1" t="s">
        <v>22</v>
      </c>
      <c r="G92" s="1" t="s">
        <v>18</v>
      </c>
      <c r="H92" s="1" t="s">
        <v>15</v>
      </c>
      <c r="I92" s="8">
        <v>439.99999999883585</v>
      </c>
      <c r="J92" s="6">
        <f t="shared" si="1"/>
        <v>9.2000000001280569</v>
      </c>
    </row>
    <row r="93" spans="1:10" x14ac:dyDescent="0.25">
      <c r="A93" s="1" t="s">
        <v>110</v>
      </c>
      <c r="B93" s="4">
        <v>45315.79791666667</v>
      </c>
      <c r="C93" s="4">
        <v>45315.82916666667</v>
      </c>
      <c r="D93" s="4">
        <v>45316.165277777778</v>
      </c>
      <c r="E93" s="1" t="s">
        <v>119</v>
      </c>
      <c r="F93" s="1" t="s">
        <v>17</v>
      </c>
      <c r="G93" s="1" t="s">
        <v>14</v>
      </c>
      <c r="H93" s="1" t="s">
        <v>27</v>
      </c>
      <c r="I93" s="8">
        <v>45</v>
      </c>
      <c r="J93" s="6">
        <f t="shared" si="1"/>
        <v>8.816666666592937</v>
      </c>
    </row>
    <row r="94" spans="1:10" x14ac:dyDescent="0.25">
      <c r="A94" s="1" t="s">
        <v>111</v>
      </c>
      <c r="B94" s="4">
        <v>45320.386111111111</v>
      </c>
      <c r="C94" s="4">
        <v>45320.394444444442</v>
      </c>
      <c r="D94" s="4">
        <v>45320.535416666666</v>
      </c>
      <c r="E94" s="1" t="s">
        <v>119</v>
      </c>
      <c r="F94" s="1" t="s">
        <v>22</v>
      </c>
      <c r="G94" s="1" t="s">
        <v>31</v>
      </c>
      <c r="H94" s="1" t="s">
        <v>20</v>
      </c>
      <c r="I94" s="8">
        <v>11.999999997206032</v>
      </c>
      <c r="J94" s="6">
        <f t="shared" si="1"/>
        <v>3.5833333333139308</v>
      </c>
    </row>
    <row r="95" spans="1:10" x14ac:dyDescent="0.25">
      <c r="A95" s="1" t="s">
        <v>112</v>
      </c>
      <c r="B95" s="4">
        <v>45315.556944444441</v>
      </c>
      <c r="C95" s="4">
        <v>45315.635416666664</v>
      </c>
      <c r="D95" s="4">
        <v>45316.127777777772</v>
      </c>
      <c r="E95" s="1" t="s">
        <v>119</v>
      </c>
      <c r="F95" s="1" t="s">
        <v>17</v>
      </c>
      <c r="G95" s="1" t="s">
        <v>10</v>
      </c>
      <c r="H95" s="1" t="s">
        <v>27</v>
      </c>
      <c r="I95" s="8">
        <v>113.00000000162981</v>
      </c>
      <c r="J95" s="6">
        <f t="shared" si="1"/>
        <v>13.699999999953434</v>
      </c>
    </row>
    <row r="96" spans="1:10" x14ac:dyDescent="0.25">
      <c r="A96" s="1" t="s">
        <v>113</v>
      </c>
      <c r="B96" s="4">
        <v>45305.37222222222</v>
      </c>
      <c r="C96" s="4">
        <v>45305.424999999996</v>
      </c>
      <c r="D96" s="4">
        <v>45305.963888888888</v>
      </c>
      <c r="E96" s="1" t="s">
        <v>119</v>
      </c>
      <c r="F96" s="1" t="s">
        <v>17</v>
      </c>
      <c r="G96" s="1" t="s">
        <v>31</v>
      </c>
      <c r="H96" s="1" t="s">
        <v>20</v>
      </c>
      <c r="I96" s="8">
        <v>75.99999999627471</v>
      </c>
      <c r="J96" s="6">
        <f t="shared" si="1"/>
        <v>14.200000000011642</v>
      </c>
    </row>
    <row r="97" spans="1:10" x14ac:dyDescent="0.25">
      <c r="A97" s="1" t="s">
        <v>114</v>
      </c>
      <c r="B97" s="4">
        <v>45311.757638888892</v>
      </c>
      <c r="C97" s="4">
        <v>45311.932638888888</v>
      </c>
      <c r="D97" s="4">
        <v>45311.98541666667</v>
      </c>
      <c r="E97" s="1" t="s">
        <v>119</v>
      </c>
      <c r="F97" s="1" t="s">
        <v>22</v>
      </c>
      <c r="G97" s="1" t="s">
        <v>10</v>
      </c>
      <c r="H97" s="1" t="s">
        <v>20</v>
      </c>
      <c r="I97" s="8">
        <v>251.99999999371357</v>
      </c>
      <c r="J97" s="6">
        <f t="shared" si="1"/>
        <v>5.4666666666744277</v>
      </c>
    </row>
    <row r="98" spans="1:10" x14ac:dyDescent="0.25">
      <c r="A98" s="1" t="s">
        <v>115</v>
      </c>
      <c r="B98" s="4">
        <v>45314.765972222223</v>
      </c>
      <c r="C98" s="4">
        <v>45314.804166666669</v>
      </c>
      <c r="D98" s="4">
        <v>45315.010416666672</v>
      </c>
      <c r="E98" s="1" t="s">
        <v>119</v>
      </c>
      <c r="F98" s="1" t="s">
        <v>9</v>
      </c>
      <c r="G98" s="1" t="s">
        <v>14</v>
      </c>
      <c r="H98" s="1" t="s">
        <v>15</v>
      </c>
      <c r="I98" s="8">
        <v>55.000000001164153</v>
      </c>
      <c r="J98" s="6">
        <f t="shared" si="1"/>
        <v>5.8666666667559184</v>
      </c>
    </row>
    <row r="99" spans="1:10" x14ac:dyDescent="0.25">
      <c r="A99" s="1" t="s">
        <v>116</v>
      </c>
      <c r="B99" s="4">
        <v>45307.85833333333</v>
      </c>
      <c r="C99" s="4">
        <v>45307.896527777775</v>
      </c>
      <c r="D99" s="4">
        <v>45308.40625</v>
      </c>
      <c r="E99" s="1" t="s">
        <v>119</v>
      </c>
      <c r="F99" s="1" t="s">
        <v>17</v>
      </c>
      <c r="G99" s="1" t="s">
        <v>14</v>
      </c>
      <c r="H99" s="1" t="s">
        <v>20</v>
      </c>
      <c r="I99" s="8">
        <v>55.000000001164153</v>
      </c>
      <c r="J99" s="6">
        <f t="shared" si="1"/>
        <v>13.150000000081491</v>
      </c>
    </row>
    <row r="100" spans="1:10" x14ac:dyDescent="0.25">
      <c r="A100" s="1" t="s">
        <v>117</v>
      </c>
      <c r="B100" s="4">
        <v>45315.431250000001</v>
      </c>
      <c r="C100" s="4">
        <v>45315.508333333331</v>
      </c>
      <c r="D100" s="4">
        <v>45315.810416666667</v>
      </c>
      <c r="E100" s="1" t="s">
        <v>119</v>
      </c>
      <c r="F100" s="1" t="s">
        <v>17</v>
      </c>
      <c r="G100" s="1" t="s">
        <v>10</v>
      </c>
      <c r="H100" s="1" t="s">
        <v>15</v>
      </c>
      <c r="I100" s="8">
        <v>110.99999999511056</v>
      </c>
      <c r="J100" s="6">
        <f t="shared" si="1"/>
        <v>9.0999999999767169</v>
      </c>
    </row>
    <row r="101" spans="1:10" x14ac:dyDescent="0.25">
      <c r="A101" s="1" t="s">
        <v>118</v>
      </c>
      <c r="B101" s="4">
        <v>45322.390972222223</v>
      </c>
      <c r="C101" s="4">
        <v>45322.456250000003</v>
      </c>
      <c r="D101" s="4" t="s">
        <v>120</v>
      </c>
      <c r="E101" s="1" t="s">
        <v>121</v>
      </c>
      <c r="F101" s="1" t="s">
        <v>17</v>
      </c>
      <c r="G101" s="1" t="s">
        <v>14</v>
      </c>
      <c r="H101" s="1" t="s">
        <v>11</v>
      </c>
      <c r="I101" s="8">
        <v>94.000000002561137</v>
      </c>
      <c r="J101" s="6" t="str">
        <f t="shared" si="1"/>
        <v/>
      </c>
    </row>
    <row r="102" spans="1:10" x14ac:dyDescent="0.25">
      <c r="D102" s="4"/>
    </row>
    <row r="103" spans="1:10" x14ac:dyDescent="0.25">
      <c r="D10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A4E3-5327-4F19-A3F0-4A2BEC7BFB2B}">
  <dimension ref="A2:G16"/>
  <sheetViews>
    <sheetView workbookViewId="0">
      <selection activeCell="F2" sqref="F2"/>
    </sheetView>
  </sheetViews>
  <sheetFormatPr defaultRowHeight="15" x14ac:dyDescent="0.25"/>
  <cols>
    <col min="1" max="1" width="13.140625" bestFit="1" customWidth="1"/>
    <col min="2" max="2" width="20.7109375" bestFit="1" customWidth="1"/>
    <col min="3" max="3" width="20.85546875" bestFit="1" customWidth="1"/>
    <col min="6" max="6" width="13.140625" bestFit="1" customWidth="1"/>
    <col min="7" max="7" width="16.7109375" bestFit="1" customWidth="1"/>
  </cols>
  <sheetData>
    <row r="2" spans="1:7" x14ac:dyDescent="0.25">
      <c r="A2" s="12"/>
      <c r="F2" s="12"/>
    </row>
    <row r="3" spans="1:7" x14ac:dyDescent="0.25">
      <c r="A3" s="9" t="s">
        <v>124</v>
      </c>
      <c r="B3" t="s">
        <v>127</v>
      </c>
      <c r="C3" t="s">
        <v>128</v>
      </c>
      <c r="F3" s="9" t="s">
        <v>124</v>
      </c>
      <c r="G3" t="s">
        <v>129</v>
      </c>
    </row>
    <row r="4" spans="1:7" x14ac:dyDescent="0.25">
      <c r="A4" s="10" t="s">
        <v>22</v>
      </c>
      <c r="B4" s="11">
        <v>59.444444444185741</v>
      </c>
      <c r="C4" s="11">
        <v>4.5242424242579462</v>
      </c>
      <c r="F4" s="10" t="s">
        <v>121</v>
      </c>
      <c r="G4" s="11">
        <v>23</v>
      </c>
    </row>
    <row r="5" spans="1:7" x14ac:dyDescent="0.25">
      <c r="A5" s="10" t="s">
        <v>17</v>
      </c>
      <c r="B5" s="11">
        <v>100.4146341468128</v>
      </c>
      <c r="C5" s="11">
        <v>10.332777777791488</v>
      </c>
      <c r="F5" s="10" t="s">
        <v>119</v>
      </c>
      <c r="G5" s="11">
        <v>77</v>
      </c>
    </row>
    <row r="6" spans="1:7" x14ac:dyDescent="0.25">
      <c r="A6" s="10" t="s">
        <v>9</v>
      </c>
      <c r="B6" s="11">
        <v>41.312499999767169</v>
      </c>
      <c r="C6" s="11">
        <v>6.3300000000139702</v>
      </c>
      <c r="F6" s="10" t="s">
        <v>125</v>
      </c>
      <c r="G6" s="11">
        <v>100</v>
      </c>
    </row>
    <row r="7" spans="1:7" x14ac:dyDescent="0.25">
      <c r="A7" s="10" t="s">
        <v>125</v>
      </c>
      <c r="B7" s="11">
        <v>70.440000000048897</v>
      </c>
      <c r="C7" s="11">
        <v>7.3735930736073865</v>
      </c>
    </row>
    <row r="10" spans="1:7" x14ac:dyDescent="0.25">
      <c r="A10" s="12"/>
    </row>
    <row r="11" spans="1:7" x14ac:dyDescent="0.25">
      <c r="A11" s="9" t="s">
        <v>124</v>
      </c>
      <c r="B11" t="s">
        <v>128</v>
      </c>
      <c r="C11" t="s">
        <v>126</v>
      </c>
      <c r="F11" s="12"/>
    </row>
    <row r="12" spans="1:7" x14ac:dyDescent="0.25">
      <c r="A12" s="10" t="s">
        <v>20</v>
      </c>
      <c r="B12" s="11">
        <v>6.9264705882352944</v>
      </c>
      <c r="C12" s="11">
        <v>26</v>
      </c>
    </row>
    <row r="13" spans="1:7" x14ac:dyDescent="0.25">
      <c r="A13" s="10" t="s">
        <v>15</v>
      </c>
      <c r="B13" s="11">
        <v>7.6782608695844514</v>
      </c>
      <c r="C13" s="11">
        <v>29</v>
      </c>
    </row>
    <row r="14" spans="1:7" x14ac:dyDescent="0.25">
      <c r="A14" s="10" t="s">
        <v>11</v>
      </c>
      <c r="B14" s="11">
        <v>7.2969696969825728</v>
      </c>
      <c r="C14" s="11">
        <v>26</v>
      </c>
    </row>
    <row r="15" spans="1:7" x14ac:dyDescent="0.25">
      <c r="A15" s="10" t="s">
        <v>27</v>
      </c>
      <c r="B15" s="11">
        <v>7.5255555555806497</v>
      </c>
      <c r="C15" s="11">
        <v>19</v>
      </c>
    </row>
    <row r="16" spans="1:7" x14ac:dyDescent="0.25">
      <c r="A16" s="10" t="s">
        <v>125</v>
      </c>
      <c r="B16" s="11">
        <v>7.3735930736073865</v>
      </c>
      <c r="C16" s="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 Singh</dc:creator>
  <cp:lastModifiedBy>Sambhav Singh</cp:lastModifiedBy>
  <dcterms:created xsi:type="dcterms:W3CDTF">2026-04-27T16:45:06Z</dcterms:created>
  <dcterms:modified xsi:type="dcterms:W3CDTF">2026-04-28T01:07:00Z</dcterms:modified>
</cp:coreProperties>
</file>